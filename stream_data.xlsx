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eillyconnelly/Desktop/THESIS/"/>
    </mc:Choice>
  </mc:AlternateContent>
  <xr:revisionPtr revIDLastSave="0" documentId="13_ncr:1_{54F0B147-DB3E-2847-9135-85723C86B186}" xr6:coauthVersionLast="47" xr6:coauthVersionMax="47" xr10:uidLastSave="{00000000-0000-0000-0000-000000000000}"/>
  <bookViews>
    <workbookView xWindow="0" yWindow="500" windowWidth="28800" windowHeight="15720" xr2:uid="{23209647-50E6-4E83-9E81-05E38644F79E}"/>
  </bookViews>
  <sheets>
    <sheet name="Sheet1" sheetId="1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0" i="1" l="1"/>
  <c r="H161" i="1"/>
  <c r="H162" i="1"/>
  <c r="H163" i="1"/>
  <c r="H139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2" i="1"/>
  <c r="I148" i="1"/>
  <c r="I147" i="1"/>
  <c r="I146" i="1"/>
  <c r="I145" i="1"/>
  <c r="I149" i="1"/>
  <c r="I144" i="1"/>
  <c r="G149" i="1"/>
  <c r="G148" i="1"/>
  <c r="G147" i="1"/>
  <c r="G146" i="1"/>
  <c r="G145" i="1"/>
  <c r="G144" i="1"/>
  <c r="F143" i="1"/>
  <c r="J143" i="1" s="1"/>
  <c r="F142" i="1"/>
  <c r="J142" i="1" s="1"/>
  <c r="F141" i="1"/>
  <c r="J141" i="1" s="1"/>
  <c r="F140" i="1"/>
  <c r="J140" i="1" s="1"/>
  <c r="F139" i="1"/>
  <c r="J139" i="1" s="1"/>
  <c r="F138" i="1"/>
  <c r="J138" i="1" s="1"/>
  <c r="F137" i="1"/>
  <c r="J137" i="1" s="1"/>
  <c r="F136" i="1"/>
  <c r="J136" i="1" s="1"/>
  <c r="F135" i="1"/>
  <c r="J135" i="1" s="1"/>
  <c r="F134" i="1"/>
  <c r="J134" i="1" s="1"/>
  <c r="F133" i="1"/>
  <c r="J133" i="1" s="1"/>
  <c r="F132" i="1"/>
  <c r="J132" i="1" s="1"/>
  <c r="F92" i="1"/>
  <c r="J92" i="1" s="1"/>
  <c r="F91" i="1"/>
  <c r="J91" i="1" s="1"/>
  <c r="F90" i="1"/>
  <c r="J90" i="1" s="1"/>
  <c r="F89" i="1"/>
  <c r="J89" i="1" s="1"/>
  <c r="F88" i="1"/>
  <c r="J88" i="1" s="1"/>
  <c r="F87" i="1"/>
  <c r="J87" i="1" s="1"/>
  <c r="F86" i="1"/>
  <c r="J86" i="1" s="1"/>
  <c r="F82" i="1"/>
  <c r="J82" i="1" s="1"/>
  <c r="F83" i="1"/>
  <c r="J83" i="1" s="1"/>
  <c r="F84" i="1"/>
  <c r="J84" i="1" s="1"/>
  <c r="F85" i="1"/>
  <c r="J85" i="1" s="1"/>
  <c r="F81" i="1"/>
  <c r="J81" i="1" s="1"/>
  <c r="F94" i="1"/>
  <c r="J94" i="1" s="1"/>
  <c r="F95" i="1"/>
  <c r="J95" i="1" s="1"/>
  <c r="F96" i="1"/>
  <c r="J96" i="1" s="1"/>
  <c r="F97" i="1"/>
  <c r="J97" i="1" s="1"/>
  <c r="F98" i="1"/>
  <c r="J98" i="1" s="1"/>
  <c r="F93" i="1"/>
  <c r="J93" i="1" s="1"/>
  <c r="G161" i="1"/>
  <c r="I161" i="1"/>
  <c r="I153" i="1"/>
  <c r="I154" i="1"/>
  <c r="I155" i="1"/>
  <c r="I156" i="1"/>
  <c r="I157" i="1"/>
  <c r="I158" i="1"/>
  <c r="I159" i="1"/>
  <c r="I160" i="1"/>
  <c r="G153" i="1"/>
  <c r="G154" i="1"/>
  <c r="G155" i="1"/>
  <c r="G156" i="1"/>
  <c r="G157" i="1"/>
  <c r="G158" i="1"/>
  <c r="G159" i="1"/>
  <c r="G160" i="1"/>
  <c r="G7" i="1"/>
  <c r="G8" i="1"/>
  <c r="G9" i="1"/>
  <c r="G10" i="1"/>
  <c r="G11" i="1"/>
  <c r="G12" i="1"/>
  <c r="G13" i="1"/>
  <c r="G14" i="1"/>
  <c r="G15" i="1"/>
  <c r="G16" i="1"/>
  <c r="G17" i="1"/>
  <c r="G6" i="1"/>
  <c r="I152" i="1"/>
  <c r="G152" i="1"/>
  <c r="I151" i="1"/>
  <c r="G151" i="1"/>
  <c r="I150" i="1"/>
  <c r="G150" i="1"/>
  <c r="G114" i="1"/>
  <c r="I114" i="1"/>
  <c r="G113" i="1"/>
  <c r="I113" i="1"/>
  <c r="G112" i="1"/>
  <c r="I112" i="1"/>
  <c r="G111" i="1"/>
  <c r="I111" i="1"/>
  <c r="G110" i="1"/>
  <c r="I110" i="1"/>
  <c r="G109" i="1"/>
  <c r="I109" i="1"/>
  <c r="I56" i="1"/>
  <c r="G56" i="1"/>
  <c r="G25" i="1"/>
  <c r="G26" i="1"/>
  <c r="G27" i="1"/>
  <c r="G24" i="1"/>
  <c r="I122" i="1"/>
  <c r="H96" i="1" l="1"/>
  <c r="H97" i="1"/>
  <c r="H83" i="1"/>
  <c r="H137" i="1"/>
  <c r="H82" i="1"/>
  <c r="H92" i="1"/>
  <c r="H98" i="1"/>
  <c r="H141" i="1"/>
  <c r="H138" i="1"/>
  <c r="H84" i="1"/>
  <c r="H81" i="1"/>
  <c r="H91" i="1"/>
  <c r="H90" i="1"/>
  <c r="H89" i="1"/>
  <c r="H132" i="1"/>
  <c r="H140" i="1"/>
  <c r="H95" i="1"/>
  <c r="H87" i="1"/>
  <c r="H135" i="1"/>
  <c r="H94" i="1"/>
  <c r="H86" i="1"/>
  <c r="H134" i="1"/>
  <c r="H143" i="1"/>
  <c r="H88" i="1"/>
  <c r="H136" i="1"/>
  <c r="H93" i="1"/>
  <c r="H85" i="1"/>
  <c r="H133" i="1"/>
  <c r="H1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tc={ECECE51B-C586-4F0E-AC99-983EB20CBC06}</author>
    <author>tc={12A8B7A6-BFFF-4247-A1CA-2E677DA91B4A}</author>
    <author>tc={899109DA-953E-4AF2-AA7E-75F075E7447F}</author>
    <author>tc={F4DCE3C7-6642-4B6C-B6EE-E69719BF6349}</author>
    <author>tc={03E4D8E4-0BD0-4EE1-A303-A250BE038D1C}</author>
    <author>tc={520A1B2D-0BE5-46FC-8D96-420B6B386B82}</author>
    <author>tc={8A9AF159-9DB7-487C-A9AA-58296D891EFC}</author>
    <author>tc={21DD41F8-F91C-4862-A752-088F93AE55B1}</author>
    <author>tc={17A4F877-713D-4046-BBA4-DA3829BA94C4}</author>
    <author>tc={B1BD6D15-7AFC-454A-8DB5-58E1DC63BC90}</author>
    <author>tc={83AAAD38-F4CA-46A5-B6B0-C703A8D40CFE}</author>
    <author>tc={400E523E-4FA4-40F9-8C70-723D13123AD8}</author>
    <author>tc={B8855BB9-C7B1-4427-8F7B-A0318E59956B}</author>
    <author>tc={C918C94E-7334-4680-801D-FBB60BA34247}</author>
    <author>tc={396C6989-75CB-41C4-B6F0-4274294C9527}</author>
    <author>tc={4813777E-38BF-4529-B109-2118E3C54220}</author>
    <author>tc={0C9EE18E-BB89-4577-8020-2AEC3130E786}</author>
    <author>tc={54895D93-DDE4-445D-B713-1841DFDB7C90}</author>
    <author>tc={B32D845F-339A-4DBC-B49F-CB3F7DDE7608}</author>
    <author>tc={03B0FD4A-1F72-43CE-BAC1-047989B3D11E}</author>
    <author>tc={2A30C721-43E8-45F7-8CD9-BAE24D187AEB}</author>
    <author>tc={CAF3F481-949C-496C-A6B2-9025FB2E298A}</author>
    <author>tc={343B1AA1-C545-464D-A446-8985F4F604B1}</author>
    <author>tc={DDBB4D89-9801-4179-A6AF-2F09B8B7713B}</author>
    <author>tc={6657C77A-92C8-4ED7-8064-54A31E6890DC}</author>
    <author>tc={09283C47-8380-46BC-BD0A-33269B32C577}</author>
    <author>tc={F3F7CC71-B984-4EA1-9CB6-2DE69218116C}</author>
    <author>tc={4F5E9592-FF9F-41DF-9519-EA7E1FEA3E56}</author>
    <author>tc={4B813FDC-1390-44A3-9A3E-BAE3443C08B8}</author>
    <author>tc={D4B274AE-9FB4-426A-A8FD-058A44852812}</author>
    <author>tc={C5083333-6AFA-4443-A33F-259AEBEB5325}</author>
    <author>tc={48D891C3-8E91-4CC7-B169-7CBE55854398}</author>
    <author>tc={7A5DE6C1-6488-4E9F-9E82-00FB45B005AD}</author>
    <author>tc={B5D38C06-3C3F-4951-92E5-60021D1FBD1A}</author>
    <author>tc={4A2DBC6F-F8A0-47C6-AC14-6B1900E9236A}</author>
    <author>tc={8645F244-EE18-4B4C-9A27-B9777CC9ECC8}</author>
    <author>tc={6AEC72C8-C032-49E1-90F0-B44005F2334C}</author>
    <author>tc={CA9AA6E0-659C-4ABD-8BA5-D943F2AF181D}</author>
    <author>tc={64125292-D354-45E4-BB9E-5A9FB69B9477}</author>
    <author>tc={D5E00046-0645-40EB-9B73-B5E5A0BD9EC3}</author>
    <author>tc={71FF7C84-C2CF-4DF0-97A1-9474ABD229D7}</author>
    <author>tc={AF0C8377-8F7B-43C2-B749-DEF317406864}</author>
    <author>tc={6CDAF948-A0CD-4C41-82C3-956C85C917BA}</author>
    <author>tc={7850F810-8DF4-45FA-945D-AFB83CDE4EAE}</author>
    <author>tc={8B3D178F-43FA-4717-833A-D02A5EA49E5E}</author>
    <author>tc={7C452068-BBA6-4143-B3BB-A2F2F4483152}</author>
    <author>tc={7F4E06C0-DBBF-4B25-A89B-4CDCFC7342F6}</author>
    <author>tc={A48925BA-5DB2-43E6-B0ED-58E2A52D95C5}</author>
    <author>tc={91CA91F9-1277-427C-8E40-73D016B843D4}</author>
    <author>tc={DAE9CBE9-F511-4B10-9834-8524D5FFC0C1}</author>
    <author>tc={852C1545-5E2E-4716-8C4D-2C243545B788}</author>
    <author>tc={0991323D-6DD9-40F4-9C79-6A51BF5F3E09}</author>
    <author>tc={818E9D5B-69C7-4D9A-A841-35DEE27ABC91}</author>
    <author>tc={4868993C-3580-48BF-B329-3A89B2593BB7}</author>
    <author>tc={2C734745-C92E-4228-AD03-CD7F7C9FBD68}</author>
    <author>tc={006B6A3C-7D1E-423B-ABD0-D4568597BBEB}</author>
    <author>tc={BAD2147C-F668-42F7-AAE1-A89FA153588B}</author>
    <author>tc={EAEDEBD9-E9F7-4AF1-9AE3-79E29556D3B7}</author>
    <author>tc={1B037DC6-A064-43AE-9EB3-6C3C810A4343}</author>
    <author>tc={1485C116-E46E-4831-895B-27D8B8C974D8}</author>
    <author>tc={4F7B8C68-7B69-4EED-9353-75F463E01EEB}</author>
    <author>tc={EF94D80A-1BB6-4854-80FB-CCA8131899D2}</author>
    <author>tc={0D196A4B-316F-4EB1-9A8D-1A6B38898E7A}</author>
    <author>tc={57A646F9-4256-4DF1-B8F1-ABC8B5C8EE09}</author>
    <author>tc={8D6EBD45-2271-40E1-B793-727379C067E7}</author>
    <author>tc={22ECBB0E-6A47-4494-AB24-E0E779B41C0F}</author>
    <author>tc={CC12EDFC-9192-4A25-B89D-773ECC4D984D}</author>
    <author>tc={D1FCBF42-966A-4839-9B5F-CFEEAE3B9CCF}</author>
    <author>tc={0836022F-7055-4C70-B76E-34E0FDD8ACCA}</author>
    <author>tc={9740481A-7BFB-449C-A745-9B231DA29DE6}</author>
    <author>tc={244F8BC9-D3E9-4BED-9684-BEF87B12BFF7}</author>
    <author>tc={816720A1-C675-431F-8DE0-95EE53FB9200}</author>
    <author>tc={4CB7ACF7-60BD-4F3E-B091-C89DAF846D36}</author>
    <author>tc={2DC87249-DE5C-4D94-95F3-05D0CB188AE2}</author>
    <author>tc={E337AA95-259E-4F18-A0FB-690A90683D31}</author>
    <author>tc={D4E51E8E-A079-4DCB-AE15-12899FA475C0}</author>
    <author>tc={CD582D62-2E2A-46AB-B6F3-F8AE9DFE4F66}</author>
    <author>tc={EACBBFE0-B1E6-4F83-B592-1AA37EF9DBC2}</author>
    <author>tc={DCD9DE74-FB50-4D29-B871-9009C3250FBA}</author>
    <author>tc={180BDEA2-0B93-49F1-956E-E611A737D5E5}</author>
    <author>tc={CE510F21-9F45-48B6-8C39-99B9D8D3E4D5}</author>
    <author>tc={F05C215B-4F53-4148-82F2-D186EC411DFA}</author>
    <author>tc={690C2B4D-E11B-4FD3-BA33-56ADBFEAAB02}</author>
    <author>tc={381E85C1-EFD4-42A0-ABEE-D921101CF088}</author>
    <author>tc={0C43375D-6C87-4F4F-8CA5-55391795B65B}</author>
    <author>tc={C7B4DFCC-0A25-467D-8A6A-B5DAA180C5DC}</author>
    <author>tc={BD1BDC7B-4C60-4BEA-A00A-B11B39BA7941}</author>
    <author>tc={F5D6ED07-2677-40DE-9FDC-AB2AA44554EA}</author>
    <author>tc={84C25576-EDE6-41B1-9D3E-FFA3254BB667}</author>
    <author>tc={0ABF6C0D-4FD0-BD4F-A67A-35AE2F826EC9}</author>
    <author>tc={9CD5888F-EB73-4E3A-991D-EAD296540482}</author>
    <author>tc={72CFF7F8-D705-4125-B357-E55C0A970431}</author>
    <author>tc={77C699DA-57DE-4293-A750-4DC02B50DE54}</author>
    <author>tc={6D0BB495-868C-0C40-967D-D924EECEC413}</author>
    <author>tc={84200F7F-B3F9-41A6-ADF8-9C8E7534736E}</author>
    <author>tc={A15B02CF-1DE0-F644-A6D5-31F89BDC3AC4}</author>
    <author>tc={BB5966CE-4C6F-456C-B741-C2A2E7680DC2}</author>
    <author>tc={56D31B4C-6C32-441C-86C2-D6278CC8E65E}</author>
    <author>tc={588C1BCD-C837-4CB5-A347-ED868461680E}</author>
    <author>tc={48A09CB1-1CF8-44BC-BD4B-125E2F945AFC}</author>
    <author>tc={3FB99309-A74A-4211-B44F-867B38C8D96D}</author>
    <author>tc={34BB4CF3-C43C-4FEE-A78D-D3D17BD16AE0}</author>
    <author>tc={C1E6BF23-B5B6-47B7-9FEA-073B45B3CB82}</author>
    <author>tc={AB315311-997F-444E-8B68-A3B63412672F}</author>
    <author>tc={77562010-3154-4120-A324-9226D882F66F}</author>
    <author>tc={E3065ECA-14C3-4F23-9C99-EB51DEBBFD95}</author>
    <author>tc={6954199B-6F20-4AE0-8C4F-FC7B08070743}</author>
    <author>tc={120248D2-B496-4254-BD53-BCD6D020F7E0}</author>
    <author>tc={152E5886-B396-44C5-8AA8-A609B370CCC9}</author>
    <author>tc={A8E6A066-962E-4770-9C66-67FFD3FC63F6}</author>
    <author>tc={0619BBC1-F002-4552-94F5-67BDD512241E}</author>
    <author>tc={5A831961-701F-4E22-A13D-D94EA278B84D}</author>
    <author>tc={63E11F34-402F-4FEC-8F0D-31C487D179AA}</author>
    <author>tc={BEE08099-E3A6-477D-AE07-A4A29A09AD7E}</author>
    <author>tc={28E2CDBC-66D4-48E1-83ED-6DEE1BB5BA4B}</author>
    <author>tc={2ACBC6EA-B342-4DA5-B283-D773C086769A}</author>
    <author>tc={F3D449B1-1BBE-455D-BBC5-B5DA5ABE9B71}</author>
    <author>tc={2EE8B884-19B6-4C01-930D-A762B51A048A}</author>
    <author>tc={82C1DF17-D9D0-4D88-8A25-DF97E5D61659}</author>
    <author>tc={CC3204DD-E359-4AF8-928A-AD5A494CCD8C}</author>
    <author>tc={0174CE6D-1227-45D9-A9B9-F262B610C775}</author>
    <author>tc={895AC79B-1423-48F7-A72C-DA0F4B1E864A}</author>
    <author>tc={45BEC29C-8BB2-4375-810E-5C7E41DC1DE7}</author>
    <author>tc={1BBC0344-7644-45F0-8670-2B6C64598A42}</author>
    <author>tc={4AA2EAD9-DFD8-4BD0-AEF4-44751BBC897E}</author>
    <author>tc={E2BA02C2-3C82-4BB8-8E63-4E9260E6A459}</author>
    <author>tc={C7CAC3FD-25AB-445D-A126-A55967334EE3}</author>
    <author>tc={E443C462-54D5-4A9E-9E16-F2143035370E}</author>
    <author>tc={E8BD64EB-7FEF-4DF8-9C6B-DF83D10AC1B2}</author>
    <author>tc={928EC816-E711-4A19-8206-11134A2D5A24}</author>
    <author>tc={DD037874-817F-406C-8ED4-B3FEFE32646A}</author>
    <author>tc={E512EC7A-9899-4D0B-81C8-FD4B9DD75022}</author>
    <author>tc={21CDF56C-C72A-4655-89F4-A42DF36552B7}</author>
    <author>tc={81B7B6FC-33AF-431B-B1FA-09CFF13B27F7}</author>
  </authors>
  <commentList>
    <comment ref="C2" authorId="0" shapeId="0" xr:uid="{ECECE51B-C586-4F0E-AC99-983EB20CBC0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3" authorId="1" shapeId="0" xr:uid="{12A8B7A6-BFFF-4247-A1CA-2E677DA91B4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4" authorId="2" shapeId="0" xr:uid="{899109DA-953E-4AF2-AA7E-75F075E7447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5" authorId="3" shapeId="0" xr:uid="{F4DCE3C7-6642-4B6C-B6EE-E69719BF634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6" authorId="4" shapeId="0" xr:uid="{03E4D8E4-0BD0-4EE1-A303-A250BE038D1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6" authorId="5" shapeId="0" xr:uid="{520A1B2D-0BE5-46FC-8D96-420B6B386B8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7" authorId="6" shapeId="0" xr:uid="{8A9AF159-9DB7-487C-A9AA-58296D891EF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7" authorId="7" shapeId="0" xr:uid="{21DD41F8-F91C-4862-A752-088F93AE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" authorId="8" shapeId="0" xr:uid="{17A4F877-713D-4046-BBA4-DA3829BA94C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8" authorId="9" shapeId="0" xr:uid="{B1BD6D15-7AFC-454A-8DB5-58E1DC63BC9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" authorId="10" shapeId="0" xr:uid="{83AAAD38-F4CA-46A5-B6B0-C703A8D40CF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9" authorId="11" shapeId="0" xr:uid="{400E523E-4FA4-40F9-8C70-723D13123AD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0" authorId="12" shapeId="0" xr:uid="{B8855BB9-C7B1-4427-8F7B-A0318E59956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10" authorId="13" shapeId="0" xr:uid="{C918C94E-7334-4680-801D-FBB60BA3424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1" authorId="14" shapeId="0" xr:uid="{396C6989-75CB-41C4-B6F0-4274294C952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11" authorId="15" shapeId="0" xr:uid="{4813777E-38BF-4529-B109-2118E3C5422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2" authorId="16" shapeId="0" xr:uid="{0C9EE18E-BB89-4577-8020-2AEC3130E78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12" authorId="17" shapeId="0" xr:uid="{54895D93-DDE4-445D-B713-1841DFDB7C9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3" authorId="18" shapeId="0" xr:uid="{B32D845F-339A-4DBC-B49F-CB3F7DDE760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13" authorId="19" shapeId="0" xr:uid="{03B0FD4A-1F72-43CE-BAC1-047989B3D11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4" authorId="20" shapeId="0" xr:uid="{2A30C721-43E8-45F7-8CD9-BAE24D187AE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14" authorId="21" shapeId="0" xr:uid="{CAF3F481-949C-496C-A6B2-9025FB2E298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5" authorId="22" shapeId="0" xr:uid="{343B1AA1-C545-464D-A446-8985F4F604B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15" authorId="23" shapeId="0" xr:uid="{DDBB4D89-9801-4179-A6AF-2F09B8B7713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6" authorId="24" shapeId="0" xr:uid="{6657C77A-92C8-4ED7-8064-54A31E6890D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16" authorId="25" shapeId="0" xr:uid="{09283C47-8380-46BC-BD0A-33269B32C57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7" authorId="26" shapeId="0" xr:uid="{F3F7CC71-B984-4EA1-9CB6-2DE69218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map in the paper</t>
      </text>
    </comment>
    <comment ref="G17" authorId="27" shapeId="0" xr:uid="{4F5E9592-FF9F-41DF-9519-EA7E1FEA3E5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8" authorId="28" shapeId="0" xr:uid="{4B813FDC-1390-44A3-9A3E-BAE3443C08B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9" authorId="29" shapeId="0" xr:uid="{D4B274AE-9FB4-426A-A8FD-058A4485281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20" authorId="30" shapeId="0" xr:uid="{C5083333-6AFA-4443-A33F-259AEBEB532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21" authorId="31" shapeId="0" xr:uid="{48D891C3-8E91-4CC7-B169-7CBE5585439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I24" authorId="32" shapeId="0" xr:uid="{7A5DE6C1-6488-4E9F-9E82-00FB45B005AD}">
      <text>
        <t>[Threaded comment]
Your version of Excel allows you to read this threaded comment; however, any edits to it will get removed if the file is opened in a newer version of Excel. Learn more: https://go.microsoft.com/fwlink/?linkid=870924
Comment:
    I changed this value, is this correct?</t>
      </text>
    </comment>
    <comment ref="C28" authorId="33" shapeId="0" xr:uid="{B5D38C06-3C3F-4951-92E5-60021D1FBD1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29" authorId="34" shapeId="0" xr:uid="{4A2DBC6F-F8A0-47C6-AC14-6B1900E9236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30" authorId="35" shapeId="0" xr:uid="{8645F244-EE18-4B4C-9A27-B9777CC9ECC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56" authorId="36" shapeId="0" xr:uid="{6AEC72C8-C032-49E1-90F0-B44005F233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D77" authorId="37" shapeId="0" xr:uid="{CA9AA6E0-659C-4ABD-8BA5-D943F2AF181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D78" authorId="38" shapeId="0" xr:uid="{64125292-D354-45E4-BB9E-5A9FB69B947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D79" authorId="39" shapeId="0" xr:uid="{D5E00046-0645-40EB-9B73-B5E5A0BD9EC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D80" authorId="40" shapeId="0" xr:uid="{71FF7C84-C2CF-4DF0-97A1-9474ABD229D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C81" authorId="41" shapeId="0" xr:uid="{AF0C8377-8F7B-43C2-B749-DEF3174068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1" authorId="42" shapeId="0" xr:uid="{6CDAF948-A0CD-4C41-82C3-956C85C917B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2" authorId="43" shapeId="0" xr:uid="{7850F810-8DF4-45FA-945D-AFB83CDE4E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2" authorId="44" shapeId="0" xr:uid="{8B3D178F-43FA-4717-833A-D02A5EA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3" authorId="45" shapeId="0" xr:uid="{7C452068-BBA6-4143-B3BB-A2F2F4483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3" authorId="46" shapeId="0" xr:uid="{7F4E06C0-DBBF-4B25-A89B-4CDCFC7342F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4" authorId="47" shapeId="0" xr:uid="{A48925BA-5DB2-43E6-B0ED-58E2A52D95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4" authorId="48" shapeId="0" xr:uid="{91CA91F9-1277-427C-8E40-73D016B843D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5" authorId="49" shapeId="0" xr:uid="{DAE9CBE9-F511-4B10-9834-8524D5FFC0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5" authorId="50" shapeId="0" xr:uid="{852C1545-5E2E-4716-8C4D-2C243545B78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6" authorId="51" shapeId="0" xr:uid="{0991323D-6DD9-40F4-9C79-6A51BF5F3E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6" authorId="52" shapeId="0" xr:uid="{818E9D5B-69C7-4D9A-A841-35DEE27ABC9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7" authorId="53" shapeId="0" xr:uid="{4868993C-3580-48BF-B329-3A89B2593B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7" authorId="54" shapeId="0" xr:uid="{2C734745-C92E-4228-AD03-CD7F7C9FBD6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8" authorId="55" shapeId="0" xr:uid="{006B6A3C-7D1E-423B-ABD0-D4568597BB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8" authorId="56" shapeId="0" xr:uid="{BAD2147C-F668-42F7-AAE1-A89FA153588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89" authorId="57" shapeId="0" xr:uid="{EAEDEBD9-E9F7-4AF1-9AE3-79E29556D3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89" authorId="58" shapeId="0" xr:uid="{1B037DC6-A064-43AE-9EB3-6C3C810A434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0" authorId="59" shapeId="0" xr:uid="{1485C116-E46E-4831-895B-27D8B8C974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90" authorId="60" shapeId="0" xr:uid="{4F7B8C68-7B69-4EED-9353-75F463E01EE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1" authorId="61" shapeId="0" xr:uid="{EF94D80A-1BB6-4854-80FB-CCA8131899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91" authorId="62" shapeId="0" xr:uid="{0D196A4B-316F-4EB1-9A8D-1A6B38898E7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2" authorId="63" shapeId="0" xr:uid="{57A646F9-4256-4DF1-B8F1-ABC8B5C8EE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F92" authorId="64" shapeId="0" xr:uid="{8D6EBD45-2271-40E1-B793-727379C067E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3" authorId="65" shapeId="0" xr:uid="{22ECBB0E-6A47-4494-AB24-E0E779B41C0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map provided in the paper</t>
      </text>
    </comment>
    <comment ref="D93" authorId="66" shapeId="0" xr:uid="{CC12EDFC-9192-4A25-B89D-773ECC4D984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F93" authorId="67" shapeId="0" xr:uid="{D1FCBF42-966A-4839-9B5F-CFEEAE3B9CCF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4" authorId="68" shapeId="0" xr:uid="{0836022F-7055-4C70-B76E-34E0FDD8ACC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map provided in the paper</t>
      </text>
    </comment>
    <comment ref="D94" authorId="69" shapeId="0" xr:uid="{9740481A-7BFB-449C-A745-9B231DA29DE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F94" authorId="70" shapeId="0" xr:uid="{244F8BC9-D3E9-4BED-9684-BEF87B12BFF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5" authorId="71" shapeId="0" xr:uid="{816720A1-C675-431F-8DE0-95EE53FB92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map provided in the paper</t>
      </text>
    </comment>
    <comment ref="D95" authorId="72" shapeId="0" xr:uid="{4CB7ACF7-60BD-4F3E-B091-C89DAF846D3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F95" authorId="73" shapeId="0" xr:uid="{2DC87249-DE5C-4D94-95F3-05D0CB188AE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6" authorId="74" shapeId="0" xr:uid="{E337AA95-259E-4F18-A0FB-690A90683D3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map provided in the paper</t>
      </text>
    </comment>
    <comment ref="D96" authorId="75" shapeId="0" xr:uid="{D4E51E8E-A079-4DCB-AE15-12899FA475C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F96" authorId="76" shapeId="0" xr:uid="{CD582D62-2E2A-46AB-B6F3-F8AE9DFE4F6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7" authorId="77" shapeId="0" xr:uid="{EACBBFE0-B1E6-4F83-B592-1AA37EF9DBC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map provided in the paper</t>
      </text>
    </comment>
    <comment ref="D97" authorId="78" shapeId="0" xr:uid="{DCD9DE74-FB50-4D29-B871-9009C3250FB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F97" authorId="79" shapeId="0" xr:uid="{180BDEA2-0B93-49F1-956E-E611A737D5E5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98" authorId="80" shapeId="0" xr:uid="{CE510F21-9F45-48B6-8C39-99B9D8D3E4D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map provided in the paper</t>
      </text>
    </comment>
    <comment ref="D98" authorId="81" shapeId="0" xr:uid="{F05C215B-4F53-4148-82F2-D186EC41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description within the paper</t>
      </text>
    </comment>
    <comment ref="F98" authorId="82" shapeId="0" xr:uid="{690C2B4D-E11B-4FD3-BA33-56ADBFEAAB0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05" authorId="83" shapeId="0" xr:uid="{381E85C1-EFD4-42A0-ABEE-D921101CF08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06" authorId="84" shapeId="0" xr:uid="{0C43375D-6C87-4F4F-8CA5-55391795B65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07" authorId="85" shapeId="0" xr:uid="{C7B4DFCC-0A25-467D-8A6A-B5DAA180C5D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08" authorId="86" shapeId="0" xr:uid="{BD1BDC7B-4C60-4BEA-A00A-B11B39BA794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09" authorId="87" shapeId="0" xr:uid="{F5D6ED07-2677-40DE-9FDC-AB2AA44554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PhD Thesis Cristian Enrique Granados Martínez </t>
      </text>
    </comment>
    <comment ref="C110" authorId="88" shapeId="0" xr:uid="{84C25576-EDE6-41B1-9D3E-FFA3254BB6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PhD Thesis Cristian Enrique Granados Martínez </t>
      </text>
    </comment>
    <comment ref="G110" authorId="89" shapeId="0" xr:uid="{0ABF6C0D-4FD0-BD4F-A67A-35AE2F826E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Paper says 1.77 but that’s wrong?
</t>
      </text>
    </comment>
    <comment ref="C111" authorId="90" shapeId="0" xr:uid="{9CD5888F-EB73-4E3A-991D-EAD2965404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PhD Thesis Cristian Enrique Granados Martínez </t>
      </text>
    </comment>
    <comment ref="C112" authorId="91" shapeId="0" xr:uid="{72CFF7F8-D705-4125-B357-E55C0A9704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PhD Thesis Cristian Enrique Granados Martínez </t>
      </text>
    </comment>
    <comment ref="C113" authorId="92" shapeId="0" xr:uid="{77C699DA-57DE-4293-A750-4DC02B50DE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PhD Thesis Cristian Enrique Granados Martínez </t>
      </text>
    </comment>
    <comment ref="G113" authorId="93" shapeId="0" xr:uid="{6D0BB495-868C-0C40-967D-D924EECEC413}">
      <text>
        <t>[Threaded comment]
Your version of Excel allows you to read this threaded comment; however, any edits to it will get removed if the file is opened in a newer version of Excel. Learn more: https://go.microsoft.com/fwlink/?linkid=870924
Comment:
    4.33</t>
      </text>
    </comment>
    <comment ref="C114" authorId="94" shapeId="0" xr:uid="{84200F7F-B3F9-41A6-ADF8-9C8E753473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PhD Thesis Cristian Enrique Granados Martínez </t>
      </text>
    </comment>
    <comment ref="G114" authorId="95" shapeId="0" xr:uid="{A15B02CF-1DE0-F644-A6D5-31F89BDC3AC4}">
      <text>
        <t>[Threaded comment]
Your version of Excel allows you to read this threaded comment; however, any edits to it will get removed if the file is opened in a newer version of Excel. Learn more: https://go.microsoft.com/fwlink/?linkid=870924
Comment:
    2.47</t>
      </text>
    </comment>
    <comment ref="C123" authorId="96" shapeId="0" xr:uid="{BB5966CE-4C6F-456C-B741-C2A2E7680DC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24" authorId="97" shapeId="0" xr:uid="{56D31B4C-6C32-441C-86C2-D6278CC8E65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25" authorId="98" shapeId="0" xr:uid="{588C1BCD-C837-4CB5-A347-ED868461680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26" authorId="99" shapeId="0" xr:uid="{48A09CB1-1CF8-44BC-BD4B-125E2F945AF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27" authorId="100" shapeId="0" xr:uid="{3FB99309-A74A-4211-B44F-867B38C8D96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28" authorId="101" shapeId="0" xr:uid="{34BB4CF3-C43C-4FEE-A78D-D3D17BD16AE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29" authorId="102" shapeId="0" xr:uid="{C1E6BF23-B5B6-47B7-9FEA-073B45B3CB8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30" authorId="103" shapeId="0" xr:uid="{AB315311-997F-444E-8B68-A3B63412672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C131" authorId="104" shapeId="0" xr:uid="{77562010-3154-4120-A324-9226D882F66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on google maps</t>
      </text>
    </comment>
    <comment ref="F132" authorId="105" shapeId="0" xr:uid="{E3065ECA-14C3-4F23-9C99-EB51DEBBFD95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33" authorId="106" shapeId="0" xr:uid="{6954199B-6F20-4AE0-8C4F-FC7B0807074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34" authorId="107" shapeId="0" xr:uid="{120248D2-B496-4254-BD53-BCD6D020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35" authorId="108" shapeId="0" xr:uid="{152E5886-B396-44C5-8AA8-A609B370CCC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36" authorId="109" shapeId="0" xr:uid="{A8E6A066-962E-4770-9C66-67FFD3FC63F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37" authorId="110" shapeId="0" xr:uid="{0619BBC1-F002-4552-94F5-67BDD512241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38" authorId="111" shapeId="0" xr:uid="{5A831961-701F-4E22-A13D-D94EA278B84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39" authorId="112" shapeId="0" xr:uid="{63E11F34-402F-4FEC-8F0D-31C487D179A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40" authorId="113" shapeId="0" xr:uid="{BEE08099-E3A6-477D-AE07-A4A29A09AD7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41" authorId="114" shapeId="0" xr:uid="{28E2CDBC-66D4-48E1-83ED-6DEE1BB5BA4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42" authorId="115" shapeId="0" xr:uid="{2ACBC6EA-B342-4DA5-B283-D773C086769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F143" authorId="116" shapeId="0" xr:uid="{F3D449B1-1BBE-455D-BBC5-B5DA5ABE9B7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44" authorId="117" shapeId="0" xr:uid="{2EE8B884-19B6-4C01-930D-A762B51A04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G144" authorId="118" shapeId="0" xr:uid="{82C1DF17-D9D0-4D88-8A25-DF97E5D6165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I144" authorId="119" shapeId="0" xr:uid="{CC3204DD-E359-4AF8-928A-AD5A494CCD8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45" authorId="120" shapeId="0" xr:uid="{0174CE6D-1227-45D9-A9B9-F262B610C7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G145" authorId="121" shapeId="0" xr:uid="{895AC79B-1423-48F7-A72C-DA0F4B1E864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I145" authorId="122" shapeId="0" xr:uid="{45BEC29C-8BB2-4375-810E-5C7E41DC1DE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46" authorId="123" shapeId="0" xr:uid="{1BBC0344-7644-45F0-8670-2B6C64598A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G146" authorId="124" shapeId="0" xr:uid="{4AA2EAD9-DFD8-4BD0-AEF4-44751BBC897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I146" authorId="125" shapeId="0" xr:uid="{E2BA02C2-3C82-4BB8-8E63-4E9260E6A45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47" authorId="126" shapeId="0" xr:uid="{C7CAC3FD-25AB-445D-A126-A55967334E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G147" authorId="127" shapeId="0" xr:uid="{E443C462-54D5-4A9E-9E16-F2143035370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I147" authorId="128" shapeId="0" xr:uid="{E8BD64EB-7FEF-4DF8-9C6B-DF83D10AC1B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48" authorId="129" shapeId="0" xr:uid="{928EC816-E711-4A19-8206-11134A2D5A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G148" authorId="130" shapeId="0" xr:uid="{DD037874-817F-406C-8ED4-B3FEFE32646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I148" authorId="131" shapeId="0" xr:uid="{E512EC7A-9899-4D0B-81C8-FD4B9DD7502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  <comment ref="C149" authorId="132" shapeId="0" xr:uid="{21CDF56C-C72A-4655-89F4-A42DF365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map in the paper
</t>
      </text>
    </comment>
    <comment ref="G149" authorId="133" shapeId="0" xr:uid="{81B7B6FC-33AF-431B-B1FA-09CFF13B27F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for us</t>
      </text>
    </comment>
  </commentList>
</comments>
</file>

<file path=xl/sharedStrings.xml><?xml version="1.0" encoding="utf-8"?>
<sst xmlns="http://schemas.openxmlformats.org/spreadsheetml/2006/main" count="480" uniqueCount="33">
  <si>
    <t>year</t>
  </si>
  <si>
    <t>land use (urban, Forested and Agriculture)</t>
  </si>
  <si>
    <t>Number of Species  (S)</t>
  </si>
  <si>
    <t>Number of Links (L)</t>
  </si>
  <si>
    <t>Linkage Density  (L/S)</t>
  </si>
  <si>
    <t>Connectance (L/S2)</t>
  </si>
  <si>
    <t>tropical</t>
  </si>
  <si>
    <t>forested</t>
  </si>
  <si>
    <t>urban</t>
  </si>
  <si>
    <t xml:space="preserve">forested </t>
  </si>
  <si>
    <t>peri-urban agriculture</t>
  </si>
  <si>
    <t>rural, livestock</t>
  </si>
  <si>
    <t xml:space="preserve">forested I think </t>
  </si>
  <si>
    <t xml:space="preserve">temperate </t>
  </si>
  <si>
    <t>temperate</t>
  </si>
  <si>
    <t xml:space="preserve">urban </t>
  </si>
  <si>
    <t>Pasture</t>
  </si>
  <si>
    <t>one</t>
  </si>
  <si>
    <t>two</t>
  </si>
  <si>
    <t>three</t>
  </si>
  <si>
    <t>four</t>
  </si>
  <si>
    <t>five</t>
  </si>
  <si>
    <t>agriculture</t>
  </si>
  <si>
    <t xml:space="preserve">agriculture </t>
  </si>
  <si>
    <t>agricultural</t>
  </si>
  <si>
    <t xml:space="preserve">rural </t>
  </si>
  <si>
    <t>human_impact</t>
  </si>
  <si>
    <t>species</t>
  </si>
  <si>
    <t>links</t>
  </si>
  <si>
    <t>link_density</t>
  </si>
  <si>
    <t>connectance</t>
  </si>
  <si>
    <t>order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</si>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</sst>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/>
    <xf numFmtId="0" fontId="1" fillId="0" borderId="1" xfId="0" applyFont="1" applyBorder="1"/>
    <xf numFmtId="2" fontId="1" fillId="2" borderId="2" xfId="0" applyNumberFormat="1" applyFont="1" applyFill="1" applyBorder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1" fillId="0" borderId="0" xfId="0" applyFont="1" applyAlignment="1">
      <alignment horizontal="left"/>
    </xf>
    <xf numFmtId="2" fontId="2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0" fontId="1" fillId="3" borderId="0" xfId="0" applyFont="1" applyFill="1"/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1" fontId="1" fillId="2" borderId="2" xfId="0" applyNumberFormat="1" applyFont="1" applyFill="1" applyBorder="1" applyAlignment="1">
      <alignment horizontal="center" vertical="top" wrapText="1"/>
    </xf>
    <xf numFmtId="1" fontId="2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blo Esteban Gutiérrez-Fonseca (he/him)" id="{3EBC3CAC-5232-A241-AE21-FD94F6FC5C9B}" userId="S::pgutierr@uvm.edu::25bdc618-995f-415b-9b28-31563f05eb38" providerId="AD"/>
  <person displayName="Reilly Connelly" id="{369548D8-D22B-1C40-8943-AD6B68D97596}" userId="S::rbconnel@uvm.edu::7bbe1f05-ee46-4c21-802d-b1ede6324a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10-20T03:30:32.76" personId="{3EBC3CAC-5232-A241-AE21-FD94F6FC5C9B}" id="{ECECE51B-C586-4F0E-AC99-983EB20CBC06}">
    <text>Base on google maps</text>
  </threadedComment>
  <threadedComment ref="C3" dT="2024-10-20T03:30:32.76" personId="{3EBC3CAC-5232-A241-AE21-FD94F6FC5C9B}" id="{12A8B7A6-BFFF-4247-A1CA-2E677DA91B4A}">
    <text>Base on google maps</text>
  </threadedComment>
  <threadedComment ref="C4" dT="2024-10-20T03:30:32.76" personId="{3EBC3CAC-5232-A241-AE21-FD94F6FC5C9B}" id="{899109DA-953E-4AF2-AA7E-75F075E7447F}">
    <text>Base on google maps</text>
  </threadedComment>
  <threadedComment ref="C5" dT="2024-10-20T03:30:32.76" personId="{3EBC3CAC-5232-A241-AE21-FD94F6FC5C9B}" id="{F4DCE3C7-6642-4B6C-B6EE-E69719BF6349}">
    <text>Base on google maps</text>
  </threadedComment>
  <threadedComment ref="C6" dT="2024-10-26T01:32:32.14" personId="{3EBC3CAC-5232-A241-AE21-FD94F6FC5C9B}" id="{03E4D8E4-0BD0-4EE1-A303-A250BE038D1C}">
    <text>Base map in the paper</text>
  </threadedComment>
  <threadedComment ref="G6" dT="2024-10-26T01:21:56.57" personId="{3EBC3CAC-5232-A241-AE21-FD94F6FC5C9B}" id="{520A1B2D-0BE5-46FC-8D96-420B6B386B82}">
    <text>Estimate for us</text>
  </threadedComment>
  <threadedComment ref="C7" dT="2024-10-26T01:32:26.13" personId="{3EBC3CAC-5232-A241-AE21-FD94F6FC5C9B}" id="{8A9AF159-9DB7-487C-A9AA-58296D891EFC}">
    <text>Base map in the paper</text>
  </threadedComment>
  <threadedComment ref="G7" dT="2024-10-26T01:32:54.46" personId="{3EBC3CAC-5232-A241-AE21-FD94F6FC5C9B}" id="{21DD41F8-F91C-4862-A752-088F93AE55B1}">
    <text>Estimate for us</text>
  </threadedComment>
  <threadedComment ref="C8" dT="2024-10-26T01:32:19.94" personId="{3EBC3CAC-5232-A241-AE21-FD94F6FC5C9B}" id="{17A4F877-713D-4046-BBA4-DA3829BA94C4}">
    <text>Base map in the paper</text>
  </threadedComment>
  <threadedComment ref="G8" dT="2024-10-26T01:32:58.22" personId="{3EBC3CAC-5232-A241-AE21-FD94F6FC5C9B}" id="{B1BD6D15-7AFC-454A-8DB5-58E1DC63BC90}">
    <text>Estimate for us</text>
  </threadedComment>
  <threadedComment ref="C9" dT="2024-10-26T01:32:15.98" personId="{3EBC3CAC-5232-A241-AE21-FD94F6FC5C9B}" id="{83AAAD38-F4CA-46A5-B6B0-C703A8D40CFE}">
    <text>Base map in the paper</text>
  </threadedComment>
  <threadedComment ref="G9" dT="2024-10-26T01:33:02.52" personId="{3EBC3CAC-5232-A241-AE21-FD94F6FC5C9B}" id="{400E523E-4FA4-40F9-8C70-723D13123AD8}">
    <text>Estimate for us</text>
  </threadedComment>
  <threadedComment ref="C10" dT="2024-10-26T01:32:11.84" personId="{3EBC3CAC-5232-A241-AE21-FD94F6FC5C9B}" id="{B8855BB9-C7B1-4427-8F7B-A0318E59956B}">
    <text>Base map in the paper</text>
  </threadedComment>
  <threadedComment ref="G10" dT="2024-10-26T01:33:06.03" personId="{3EBC3CAC-5232-A241-AE21-FD94F6FC5C9B}" id="{C918C94E-7334-4680-801D-FBB60BA34247}">
    <text>Estimate for us</text>
  </threadedComment>
  <threadedComment ref="C11" dT="2024-10-26T01:32:07.96" personId="{3EBC3CAC-5232-A241-AE21-FD94F6FC5C9B}" id="{396C6989-75CB-41C4-B6F0-4274294C9527}">
    <text>Base map in the paper</text>
  </threadedComment>
  <threadedComment ref="G11" dT="2024-10-26T01:33:13.81" personId="{3EBC3CAC-5232-A241-AE21-FD94F6FC5C9B}" id="{4813777E-38BF-4529-B109-2118E3C54220}">
    <text>Estimate for us</text>
  </threadedComment>
  <threadedComment ref="C12" dT="2024-10-26T01:32:04.27" personId="{3EBC3CAC-5232-A241-AE21-FD94F6FC5C9B}" id="{0C9EE18E-BB89-4577-8020-2AEC3130E786}">
    <text>Base map in the paper</text>
  </threadedComment>
  <threadedComment ref="G12" dT="2024-10-26T01:33:17.37" personId="{3EBC3CAC-5232-A241-AE21-FD94F6FC5C9B}" id="{54895D93-DDE4-445D-B713-1841DFDB7C90}">
    <text>Estimate for us</text>
  </threadedComment>
  <threadedComment ref="C13" dT="2024-10-26T01:31:57.39" personId="{3EBC3CAC-5232-A241-AE21-FD94F6FC5C9B}" id="{B32D845F-339A-4DBC-B49F-CB3F7DDE7608}">
    <text>Base map in the paper</text>
  </threadedComment>
  <threadedComment ref="G13" dT="2024-10-26T01:33:24.43" personId="{3EBC3CAC-5232-A241-AE21-FD94F6FC5C9B}" id="{03B0FD4A-1F72-43CE-BAC1-047989B3D11E}">
    <text>Estimate for us</text>
  </threadedComment>
  <threadedComment ref="C14" dT="2024-10-26T01:31:54.37" personId="{3EBC3CAC-5232-A241-AE21-FD94F6FC5C9B}" id="{2A30C721-43E8-45F7-8CD9-BAE24D187AEB}">
    <text>Base map in the paper</text>
  </threadedComment>
  <threadedComment ref="G14" dT="2024-10-26T01:33:30.59" personId="{3EBC3CAC-5232-A241-AE21-FD94F6FC5C9B}" id="{CAF3F481-949C-496C-A6B2-9025FB2E298A}">
    <text>Estimate for us</text>
  </threadedComment>
  <threadedComment ref="C15" dT="2024-10-26T01:31:50.74" personId="{3EBC3CAC-5232-A241-AE21-FD94F6FC5C9B}" id="{343B1AA1-C545-464D-A446-8985F4F604B1}">
    <text>Base map in the paper</text>
  </threadedComment>
  <threadedComment ref="G15" dT="2024-10-26T01:33:38.23" personId="{3EBC3CAC-5232-A241-AE21-FD94F6FC5C9B}" id="{DDBB4D89-9801-4179-A6AF-2F09B8B7713B}">
    <text>Estimate for us</text>
  </threadedComment>
  <threadedComment ref="C16" dT="2024-10-26T01:31:47.23" personId="{3EBC3CAC-5232-A241-AE21-FD94F6FC5C9B}" id="{6657C77A-92C8-4ED7-8064-54A31E6890DC}">
    <text>Base map in the paper</text>
  </threadedComment>
  <threadedComment ref="G16" dT="2024-10-26T01:33:42.22" personId="{3EBC3CAC-5232-A241-AE21-FD94F6FC5C9B}" id="{09283C47-8380-46BC-BD0A-33269B32C577}">
    <text>Estimate for us</text>
  </threadedComment>
  <threadedComment ref="C17" dT="2024-10-26T01:31:43.69" personId="{3EBC3CAC-5232-A241-AE21-FD94F6FC5C9B}" id="{F3F7CC71-B984-4EA1-9CB6-2DE69218116C}">
    <text>Base map in the paper</text>
  </threadedComment>
  <threadedComment ref="G17" dT="2024-10-26T01:33:47.22" personId="{3EBC3CAC-5232-A241-AE21-FD94F6FC5C9B}" id="{4F5E9592-FF9F-41DF-9519-EA7E1FEA3E56}">
    <text>Estimate for us</text>
  </threadedComment>
  <threadedComment ref="C18" dT="2024-10-20T03:30:32.76" personId="{3EBC3CAC-5232-A241-AE21-FD94F6FC5C9B}" id="{4B813FDC-1390-44A3-9A3E-BAE3443C08B8}">
    <text>Base on google maps</text>
  </threadedComment>
  <threadedComment ref="C19" dT="2024-10-20T03:30:32.76" personId="{3EBC3CAC-5232-A241-AE21-FD94F6FC5C9B}" id="{D4B274AE-9FB4-426A-A8FD-058A44852812}">
    <text>Base on google maps</text>
  </threadedComment>
  <threadedComment ref="C20" dT="2024-10-20T03:30:32.76" personId="{3EBC3CAC-5232-A241-AE21-FD94F6FC5C9B}" id="{C5083333-6AFA-4443-A33F-259AEBEB5325}">
    <text>Base on google maps</text>
  </threadedComment>
  <threadedComment ref="C21" dT="2024-10-20T03:30:32.76" personId="{3EBC3CAC-5232-A241-AE21-FD94F6FC5C9B}" id="{48D891C3-8E91-4CC7-B169-7CBE55854398}">
    <text>Base on google maps</text>
  </threadedComment>
  <threadedComment ref="I24" dT="2024-10-25T00:53:16.21" personId="{3EBC3CAC-5232-A241-AE21-FD94F6FC5C9B}" id="{7A5DE6C1-6488-4E9F-9E82-00FB45B005AD}">
    <text>I changed this value, is this correct?</text>
  </threadedComment>
  <threadedComment ref="C28" dT="2024-10-25T01:04:43.93" personId="{3EBC3CAC-5232-A241-AE21-FD94F6FC5C9B}" id="{B5D38C06-3C3F-4951-92E5-60021D1FBD1A}">
    <text>Base on google maps</text>
  </threadedComment>
  <threadedComment ref="C29" dT="2024-10-25T01:04:43.93" personId="{3EBC3CAC-5232-A241-AE21-FD94F6FC5C9B}" id="{4A2DBC6F-F8A0-47C6-AC14-6B1900E9236A}">
    <text>Base on google maps</text>
  </threadedComment>
  <threadedComment ref="C30" dT="2024-10-25T01:04:43.93" personId="{3EBC3CAC-5232-A241-AE21-FD94F6FC5C9B}" id="{8645F244-EE18-4B4C-9A27-B9777CC9ECC8}">
    <text>Base on google maps</text>
  </threadedComment>
  <threadedComment ref="C56" dT="2024-10-25T01:04:43.93" personId="{3EBC3CAC-5232-A241-AE21-FD94F6FC5C9B}" id="{6AEC72C8-C032-49E1-90F0-B44005F2334C}">
    <text>Base on google maps</text>
  </threadedComment>
  <threadedComment ref="D77" dT="2024-11-03T17:53:35.19" personId="{3EBC3CAC-5232-A241-AE21-FD94F6FC5C9B}" id="{CA9AA6E0-659C-4ABD-8BA5-D943F2AF181D}">
    <text>Based on the description within the paper</text>
  </threadedComment>
  <threadedComment ref="D78" dT="2024-11-03T17:53:35.19" personId="{3EBC3CAC-5232-A241-AE21-FD94F6FC5C9B}" id="{64125292-D354-45E4-BB9E-5A9FB69B9477}">
    <text>Based on the description within the paper</text>
  </threadedComment>
  <threadedComment ref="D79" dT="2024-11-03T17:53:35.19" personId="{3EBC3CAC-5232-A241-AE21-FD94F6FC5C9B}" id="{D5E00046-0645-40EB-9B73-B5E5A0BD9EC3}">
    <text>Based on the description within the paper</text>
  </threadedComment>
  <threadedComment ref="D80" dT="2024-11-03T17:53:35.19" personId="{3EBC3CAC-5232-A241-AE21-FD94F6FC5C9B}" id="{71FF7C84-C2CF-4DF0-97A1-9474ABD229D7}">
    <text>Based on the description within the paper</text>
  </threadedComment>
  <threadedComment ref="C81" dT="2024-11-05T02:00:25.11" personId="{3EBC3CAC-5232-A241-AE21-FD94F6FC5C9B}" id="{AF0C8377-8F7B-43C2-B749-DEF317406864}">
    <text xml:space="preserve">Base map in the paper
</text>
  </threadedComment>
  <threadedComment ref="F81" dT="2024-11-03T18:02:13.27" personId="{3EBC3CAC-5232-A241-AE21-FD94F6FC5C9B}" id="{6CDAF948-A0CD-4C41-82C3-956C85C917BA}">
    <text>Estimate for us</text>
  </threadedComment>
  <threadedComment ref="C82" dT="2024-11-05T02:00:30.53" personId="{3EBC3CAC-5232-A241-AE21-FD94F6FC5C9B}" id="{7850F810-8DF4-45FA-945D-AFB83CDE4EAE}">
    <text xml:space="preserve">Base map in the paper
</text>
  </threadedComment>
  <threadedComment ref="F82" dT="2024-11-05T01:51:48.99" personId="{3EBC3CAC-5232-A241-AE21-FD94F6FC5C9B}" id="{8B3D178F-43FA-4717-833A-D02A5EA49E5E}">
    <text>Estimate for us</text>
  </threadedComment>
  <threadedComment ref="C83" dT="2024-11-05T02:00:35.56" personId="{3EBC3CAC-5232-A241-AE21-FD94F6FC5C9B}" id="{7C452068-BBA6-4143-B3BB-A2F2F4483152}">
    <text xml:space="preserve">Base map in the paper
</text>
  </threadedComment>
  <threadedComment ref="F83" dT="2024-11-05T01:51:56.05" personId="{3EBC3CAC-5232-A241-AE21-FD94F6FC5C9B}" id="{7F4E06C0-DBBF-4B25-A89B-4CDCFC7342F6}">
    <text>Estimate for us</text>
  </threadedComment>
  <threadedComment ref="C84" dT="2024-11-05T02:00:40.29" personId="{3EBC3CAC-5232-A241-AE21-FD94F6FC5C9B}" id="{A48925BA-5DB2-43E6-B0ED-58E2A52D95C5}">
    <text xml:space="preserve">Base map in the paper
</text>
  </threadedComment>
  <threadedComment ref="F84" dT="2024-11-05T01:52:02.26" personId="{3EBC3CAC-5232-A241-AE21-FD94F6FC5C9B}" id="{91CA91F9-1277-427C-8E40-73D016B843D4}">
    <text>Estimate for us</text>
  </threadedComment>
  <threadedComment ref="C85" dT="2024-11-05T02:00:25.11" personId="{3EBC3CAC-5232-A241-AE21-FD94F6FC5C9B}" id="{DAE9CBE9-F511-4B10-9834-8524D5FFC0C1}">
    <text xml:space="preserve">Base map in the paper
</text>
  </threadedComment>
  <threadedComment ref="F85" dT="2024-11-05T01:52:06.68" personId="{3EBC3CAC-5232-A241-AE21-FD94F6FC5C9B}" id="{852C1545-5E2E-4716-8C4D-2C243545B788}">
    <text>Estimate for us</text>
  </threadedComment>
  <threadedComment ref="C86" dT="2024-11-05T02:00:30.53" personId="{3EBC3CAC-5232-A241-AE21-FD94F6FC5C9B}" id="{0991323D-6DD9-40F4-9C79-6A51BF5F3E09}">
    <text xml:space="preserve">Base map in the paper
</text>
  </threadedComment>
  <threadedComment ref="F86" dT="2024-11-05T01:52:06.68" personId="{3EBC3CAC-5232-A241-AE21-FD94F6FC5C9B}" id="{818E9D5B-69C7-4D9A-A841-35DEE27ABC91}">
    <text>Estimate for us</text>
  </threadedComment>
  <threadedComment ref="C87" dT="2024-11-05T02:00:35.56" personId="{3EBC3CAC-5232-A241-AE21-FD94F6FC5C9B}" id="{4868993C-3580-48BF-B329-3A89B2593BB7}">
    <text xml:space="preserve">Base map in the paper
</text>
  </threadedComment>
  <threadedComment ref="F87" dT="2024-11-05T01:52:06.68" personId="{3EBC3CAC-5232-A241-AE21-FD94F6FC5C9B}" id="{2C734745-C92E-4228-AD03-CD7F7C9FBD68}">
    <text>Estimate for us</text>
  </threadedComment>
  <threadedComment ref="C88" dT="2024-11-05T02:00:40.29" personId="{3EBC3CAC-5232-A241-AE21-FD94F6FC5C9B}" id="{006B6A3C-7D1E-423B-ABD0-D4568597BBEB}">
    <text xml:space="preserve">Base map in the paper
</text>
  </threadedComment>
  <threadedComment ref="F88" dT="2024-11-05T01:52:06.68" personId="{3EBC3CAC-5232-A241-AE21-FD94F6FC5C9B}" id="{BAD2147C-F668-42F7-AAE1-A89FA153588B}">
    <text>Estimate for us</text>
  </threadedComment>
  <threadedComment ref="C89" dT="2024-11-05T02:00:25.11" personId="{3EBC3CAC-5232-A241-AE21-FD94F6FC5C9B}" id="{EAEDEBD9-E9F7-4AF1-9AE3-79E29556D3B7}">
    <text xml:space="preserve">Base map in the paper
</text>
  </threadedComment>
  <threadedComment ref="F89" dT="2024-11-05T01:52:06.68" personId="{3EBC3CAC-5232-A241-AE21-FD94F6FC5C9B}" id="{1B037DC6-A064-43AE-9EB3-6C3C810A4343}">
    <text>Estimate for us</text>
  </threadedComment>
  <threadedComment ref="C90" dT="2024-11-05T02:00:30.53" personId="{3EBC3CAC-5232-A241-AE21-FD94F6FC5C9B}" id="{1485C116-E46E-4831-895B-27D8B8C974D8}">
    <text xml:space="preserve">Base map in the paper
</text>
  </threadedComment>
  <threadedComment ref="F90" dT="2024-11-05T01:52:06.68" personId="{3EBC3CAC-5232-A241-AE21-FD94F6FC5C9B}" id="{4F7B8C68-7B69-4EED-9353-75F463E01EEB}">
    <text>Estimate for us</text>
  </threadedComment>
  <threadedComment ref="C91" dT="2024-11-05T02:00:35.56" personId="{3EBC3CAC-5232-A241-AE21-FD94F6FC5C9B}" id="{EF94D80A-1BB6-4854-80FB-CCA8131899D2}">
    <text xml:space="preserve">Base map in the paper
</text>
  </threadedComment>
  <threadedComment ref="F91" dT="2024-11-05T01:52:06.68" personId="{3EBC3CAC-5232-A241-AE21-FD94F6FC5C9B}" id="{0D196A4B-316F-4EB1-9A8D-1A6B38898E7A}">
    <text>Estimate for us</text>
  </threadedComment>
  <threadedComment ref="C92" dT="2024-11-05T02:00:40.29" personId="{3EBC3CAC-5232-A241-AE21-FD94F6FC5C9B}" id="{57A646F9-4256-4DF1-B8F1-ABC8B5C8EE09}">
    <text xml:space="preserve">Base map in the paper
</text>
  </threadedComment>
  <threadedComment ref="F92" dT="2024-11-05T01:52:06.68" personId="{3EBC3CAC-5232-A241-AE21-FD94F6FC5C9B}" id="{8D6EBD45-2271-40E1-B793-727379C067E7}">
    <text>Estimate for us</text>
  </threadedComment>
  <threadedComment ref="C93" dT="2024-11-03T17:51:30.42" personId="{3EBC3CAC-5232-A241-AE21-FD94F6FC5C9B}" id="{22ECBB0E-6A47-4494-AB24-E0E779B41C0F}">
    <text>Based on the map provided in the paper</text>
  </threadedComment>
  <threadedComment ref="D93" dT="2024-11-03T17:53:35.19" personId="{3EBC3CAC-5232-A241-AE21-FD94F6FC5C9B}" id="{CC12EDFC-9192-4A25-B89D-773ECC4D984D}">
    <text>Based on the description within the paper</text>
  </threadedComment>
  <threadedComment ref="F93" dT="2024-11-03T18:02:13.27" personId="{3EBC3CAC-5232-A241-AE21-FD94F6FC5C9B}" id="{D1FCBF42-966A-4839-9B5F-CFEEAE3B9CCF}">
    <text>Estimate for us</text>
  </threadedComment>
  <threadedComment ref="C94" dT="2024-11-03T17:51:38.49" personId="{3EBC3CAC-5232-A241-AE21-FD94F6FC5C9B}" id="{0836022F-7055-4C70-B76E-34E0FDD8ACCA}">
    <text>Based on the map provided in the paper</text>
  </threadedComment>
  <threadedComment ref="D94" dT="2024-11-03T17:53:39.19" personId="{3EBC3CAC-5232-A241-AE21-FD94F6FC5C9B}" id="{9740481A-7BFB-449C-A745-9B231DA29DE6}">
    <text>Based on the description within the paper</text>
  </threadedComment>
  <threadedComment ref="F94" dT="2024-11-03T18:02:20.11" personId="{3EBC3CAC-5232-A241-AE21-FD94F6FC5C9B}" id="{244F8BC9-D3E9-4BED-9684-BEF87B12BFF7}">
    <text>Estimate for us</text>
  </threadedComment>
  <threadedComment ref="C95" dT="2024-11-03T17:51:43.88" personId="{3EBC3CAC-5232-A241-AE21-FD94F6FC5C9B}" id="{816720A1-C675-431F-8DE0-95EE53FB9200}">
    <text>Based on the map provided in the paper</text>
  </threadedComment>
  <threadedComment ref="D95" dT="2024-11-03T17:53:47.26" personId="{3EBC3CAC-5232-A241-AE21-FD94F6FC5C9B}" id="{4CB7ACF7-60BD-4F3E-B091-C89DAF846D36}">
    <text>Based on the description within the paper</text>
  </threadedComment>
  <threadedComment ref="F95" dT="2024-11-03T18:02:25.36" personId="{3EBC3CAC-5232-A241-AE21-FD94F6FC5C9B}" id="{2DC87249-DE5C-4D94-95F3-05D0CB188AE2}">
    <text>Estimate for us</text>
  </threadedComment>
  <threadedComment ref="C96" dT="2024-11-03T17:51:50.52" personId="{3EBC3CAC-5232-A241-AE21-FD94F6FC5C9B}" id="{E337AA95-259E-4F18-A0FB-690A90683D31}">
    <text>Based on the map provided in the paper</text>
  </threadedComment>
  <threadedComment ref="D96" dT="2024-11-03T17:53:52.02" personId="{3EBC3CAC-5232-A241-AE21-FD94F6FC5C9B}" id="{D4E51E8E-A079-4DCB-AE15-12899FA475C0}">
    <text>Based on the description within the paper</text>
  </threadedComment>
  <threadedComment ref="F96" dT="2024-11-03T18:02:29.76" personId="{3EBC3CAC-5232-A241-AE21-FD94F6FC5C9B}" id="{CD582D62-2E2A-46AB-B6F3-F8AE9DFE4F66}">
    <text>Estimate for us</text>
  </threadedComment>
  <threadedComment ref="C97" dT="2024-11-03T17:51:56.38" personId="{3EBC3CAC-5232-A241-AE21-FD94F6FC5C9B}" id="{EACBBFE0-B1E6-4F83-B592-1AA37EF9DBC2}">
    <text>Based on the map provided in the paper</text>
  </threadedComment>
  <threadedComment ref="D97" dT="2024-11-03T17:54:00.07" personId="{3EBC3CAC-5232-A241-AE21-FD94F6FC5C9B}" id="{DCD9DE74-FB50-4D29-B871-9009C3250FBA}">
    <text>Based on the description within the paper</text>
  </threadedComment>
  <threadedComment ref="F97" dT="2024-11-03T18:02:35.42" personId="{3EBC3CAC-5232-A241-AE21-FD94F6FC5C9B}" id="{180BDEA2-0B93-49F1-956E-E611A737D5E5}">
    <text>Estimate for us</text>
  </threadedComment>
  <threadedComment ref="C98" dT="2024-11-03T17:51:59.44" personId="{3EBC3CAC-5232-A241-AE21-FD94F6FC5C9B}" id="{CE510F21-9F45-48B6-8C39-99B9D8D3E4D5}">
    <text>Based on the map provided in the paper</text>
  </threadedComment>
  <threadedComment ref="D98" dT="2024-11-03T17:54:03.90" personId="{3EBC3CAC-5232-A241-AE21-FD94F6FC5C9B}" id="{F05C215B-4F53-4148-82F2-D186EC411DFA}">
    <text>Based on the description within the paper</text>
  </threadedComment>
  <threadedComment ref="F98" dT="2024-11-03T18:02:39.54" personId="{3EBC3CAC-5232-A241-AE21-FD94F6FC5C9B}" id="{690C2B4D-E11B-4FD3-BA33-56ADBFEAAB02}">
    <text>Estimate for us</text>
  </threadedComment>
  <threadedComment ref="C105" dT="2024-10-25T01:04:43.93" personId="{3EBC3CAC-5232-A241-AE21-FD94F6FC5C9B}" id="{381E85C1-EFD4-42A0-ABEE-D921101CF088}">
    <text>Base on google maps</text>
  </threadedComment>
  <threadedComment ref="C106" dT="2024-10-25T01:04:43.93" personId="{3EBC3CAC-5232-A241-AE21-FD94F6FC5C9B}" id="{0C43375D-6C87-4F4F-8CA5-55391795B65B}">
    <text>Base on google maps</text>
  </threadedComment>
  <threadedComment ref="C107" dT="2024-10-25T01:04:43.93" personId="{3EBC3CAC-5232-A241-AE21-FD94F6FC5C9B}" id="{C7B4DFCC-0A25-467D-8A6A-B5DAA180C5DC}">
    <text>Base on google maps</text>
  </threadedComment>
  <threadedComment ref="C108" dT="2024-10-25T01:04:43.93" personId="{3EBC3CAC-5232-A241-AE21-FD94F6FC5C9B}" id="{BD1BDC7B-4C60-4BEA-A00A-B11B39BA7941}">
    <text>Base on google maps</text>
  </threadedComment>
  <threadedComment ref="C109" dT="2024-10-26T00:12:19.20" personId="{3EBC3CAC-5232-A241-AE21-FD94F6FC5C9B}" id="{F5D6ED07-2677-40DE-9FDC-AB2AA44554EA}">
    <text xml:space="preserve">Estimated PhD Thesis Cristian Enrique Granados Martínez </text>
  </threadedComment>
  <threadedComment ref="C110" dT="2024-10-26T00:12:19.20" personId="{3EBC3CAC-5232-A241-AE21-FD94F6FC5C9B}" id="{84C25576-EDE6-41B1-9D3E-FFA3254BB667}">
    <text xml:space="preserve">Estimated PhD Thesis Cristian Enrique Granados Martínez </text>
  </threadedComment>
  <threadedComment ref="G110" dT="2024-10-23T01:04:50.70" personId="{369548D8-D22B-1C40-8943-AD6B68D97596}" id="{0ABF6C0D-4FD0-BD4F-A67A-35AE2F826EC9}">
    <text xml:space="preserve">Paper says 1.77 but that’s wrong?
</text>
  </threadedComment>
  <threadedComment ref="C111" dT="2024-10-26T00:12:19.20" personId="{3EBC3CAC-5232-A241-AE21-FD94F6FC5C9B}" id="{9CD5888F-EB73-4E3A-991D-EAD296540482}">
    <text xml:space="preserve">Estimated PhD Thesis Cristian Enrique Granados Martínez </text>
  </threadedComment>
  <threadedComment ref="C112" dT="2024-10-26T00:12:19.20" personId="{3EBC3CAC-5232-A241-AE21-FD94F6FC5C9B}" id="{72CFF7F8-D705-4125-B357-E55C0A970431}">
    <text xml:space="preserve">Estimated PhD Thesis Cristian Enrique Granados Martínez </text>
  </threadedComment>
  <threadedComment ref="C113" dT="2024-10-26T00:12:19.20" personId="{3EBC3CAC-5232-A241-AE21-FD94F6FC5C9B}" id="{77C699DA-57DE-4293-A750-4DC02B50DE54}">
    <text xml:space="preserve">Estimated PhD Thesis Cristian Enrique Granados Martínez </text>
  </threadedComment>
  <threadedComment ref="G113" dT="2024-10-23T01:05:57.45" personId="{369548D8-D22B-1C40-8943-AD6B68D97596}" id="{6D0BB495-868C-0C40-967D-D924EECEC413}">
    <text>4.33</text>
  </threadedComment>
  <threadedComment ref="C114" dT="2024-10-26T00:12:19.20" personId="{3EBC3CAC-5232-A241-AE21-FD94F6FC5C9B}" id="{84200F7F-B3F9-41A6-ADF8-9C8E7534736E}">
    <text xml:space="preserve">Estimated PhD Thesis Cristian Enrique Granados Martínez </text>
  </threadedComment>
  <threadedComment ref="G114" dT="2024-10-23T01:06:08.42" personId="{369548D8-D22B-1C40-8943-AD6B68D97596}" id="{A15B02CF-1DE0-F644-A6D5-31F89BDC3AC4}">
    <text>2.47</text>
  </threadedComment>
  <threadedComment ref="C123" dT="2024-10-25T01:04:43.93" personId="{3EBC3CAC-5232-A241-AE21-FD94F6FC5C9B}" id="{BB5966CE-4C6F-456C-B741-C2A2E7680DC2}">
    <text>Base on google maps</text>
  </threadedComment>
  <threadedComment ref="C124" dT="2024-10-25T01:04:43.93" personId="{3EBC3CAC-5232-A241-AE21-FD94F6FC5C9B}" id="{56D31B4C-6C32-441C-86C2-D6278CC8E65E}">
    <text>Base on google maps</text>
  </threadedComment>
  <threadedComment ref="C125" dT="2024-10-25T01:04:43.93" personId="{3EBC3CAC-5232-A241-AE21-FD94F6FC5C9B}" id="{588C1BCD-C837-4CB5-A347-ED868461680E}">
    <text>Base on google maps</text>
  </threadedComment>
  <threadedComment ref="C126" dT="2024-10-25T01:04:43.93" personId="{3EBC3CAC-5232-A241-AE21-FD94F6FC5C9B}" id="{48A09CB1-1CF8-44BC-BD4B-125E2F945AFC}">
    <text>Base on google maps</text>
  </threadedComment>
  <threadedComment ref="C127" dT="2024-10-25T01:04:43.93" personId="{3EBC3CAC-5232-A241-AE21-FD94F6FC5C9B}" id="{3FB99309-A74A-4211-B44F-867B38C8D96D}">
    <text>Base on google maps</text>
  </threadedComment>
  <threadedComment ref="C128" dT="2024-10-25T01:04:43.93" personId="{3EBC3CAC-5232-A241-AE21-FD94F6FC5C9B}" id="{34BB4CF3-C43C-4FEE-A78D-D3D17BD16AE0}">
    <text>Base on google maps</text>
  </threadedComment>
  <threadedComment ref="C129" dT="2024-10-25T01:04:43.93" personId="{3EBC3CAC-5232-A241-AE21-FD94F6FC5C9B}" id="{C1E6BF23-B5B6-47B7-9FEA-073B45B3CB82}">
    <text>Base on google maps</text>
  </threadedComment>
  <threadedComment ref="C130" dT="2024-10-25T01:04:43.93" personId="{3EBC3CAC-5232-A241-AE21-FD94F6FC5C9B}" id="{AB315311-997F-444E-8B68-A3B63412672F}">
    <text>Base on google maps</text>
  </threadedComment>
  <threadedComment ref="C131" dT="2024-10-25T01:04:43.93" personId="{3EBC3CAC-5232-A241-AE21-FD94F6FC5C9B}" id="{77562010-3154-4120-A324-9226D882F66F}">
    <text>Base on google maps</text>
  </threadedComment>
  <threadedComment ref="F132" dT="2024-11-03T18:02:39.54" personId="{3EBC3CAC-5232-A241-AE21-FD94F6FC5C9B}" id="{E3065ECA-14C3-4F23-9C99-EB51DEBBFD95}">
    <text>Estimate for us</text>
  </threadedComment>
  <threadedComment ref="F133" dT="2024-11-03T18:02:39.54" personId="{3EBC3CAC-5232-A241-AE21-FD94F6FC5C9B}" id="{6954199B-6F20-4AE0-8C4F-FC7B08070743}">
    <text>Estimate for us</text>
  </threadedComment>
  <threadedComment ref="F134" dT="2024-11-03T18:02:39.54" personId="{3EBC3CAC-5232-A241-AE21-FD94F6FC5C9B}" id="{120248D2-B496-4254-BD53-BCD6D020F7E0}">
    <text>Estimate for us</text>
  </threadedComment>
  <threadedComment ref="F135" dT="2024-11-03T18:02:39.54" personId="{3EBC3CAC-5232-A241-AE21-FD94F6FC5C9B}" id="{152E5886-B396-44C5-8AA8-A609B370CCC9}">
    <text>Estimate for us</text>
  </threadedComment>
  <threadedComment ref="F136" dT="2024-11-03T18:02:39.54" personId="{3EBC3CAC-5232-A241-AE21-FD94F6FC5C9B}" id="{A8E6A066-962E-4770-9C66-67FFD3FC63F6}">
    <text>Estimate for us</text>
  </threadedComment>
  <threadedComment ref="F137" dT="2024-11-03T18:02:39.54" personId="{3EBC3CAC-5232-A241-AE21-FD94F6FC5C9B}" id="{0619BBC1-F002-4552-94F5-67BDD512241E}">
    <text>Estimate for us</text>
  </threadedComment>
  <threadedComment ref="F138" dT="2024-11-03T18:02:39.54" personId="{3EBC3CAC-5232-A241-AE21-FD94F6FC5C9B}" id="{5A831961-701F-4E22-A13D-D94EA278B84D}">
    <text>Estimate for us</text>
  </threadedComment>
  <threadedComment ref="F139" dT="2024-11-03T18:02:39.54" personId="{3EBC3CAC-5232-A241-AE21-FD94F6FC5C9B}" id="{63E11F34-402F-4FEC-8F0D-31C487D179AA}">
    <text>Estimate for us</text>
  </threadedComment>
  <threadedComment ref="F140" dT="2024-11-03T18:02:39.54" personId="{3EBC3CAC-5232-A241-AE21-FD94F6FC5C9B}" id="{BEE08099-E3A6-477D-AE07-A4A29A09AD7E}">
    <text>Estimate for us</text>
  </threadedComment>
  <threadedComment ref="F141" dT="2024-11-03T18:02:39.54" personId="{3EBC3CAC-5232-A241-AE21-FD94F6FC5C9B}" id="{28E2CDBC-66D4-48E1-83ED-6DEE1BB5BA4B}">
    <text>Estimate for us</text>
  </threadedComment>
  <threadedComment ref="F142" dT="2024-11-03T18:02:39.54" personId="{3EBC3CAC-5232-A241-AE21-FD94F6FC5C9B}" id="{2ACBC6EA-B342-4DA5-B283-D773C086769A}">
    <text>Estimate for us</text>
  </threadedComment>
  <threadedComment ref="F143" dT="2024-11-03T18:02:39.54" personId="{3EBC3CAC-5232-A241-AE21-FD94F6FC5C9B}" id="{F3D449B1-1BBE-455D-BBC5-B5DA5ABE9B71}">
    <text>Estimate for us</text>
  </threadedComment>
  <threadedComment ref="C144" dT="2024-11-05T02:00:35.56" personId="{3EBC3CAC-5232-A241-AE21-FD94F6FC5C9B}" id="{2EE8B884-19B6-4C01-930D-A762B51A048A}">
    <text xml:space="preserve">Base map in the paper
</text>
  </threadedComment>
  <threadedComment ref="G144" dT="2024-10-26T01:33:30.59" personId="{3EBC3CAC-5232-A241-AE21-FD94F6FC5C9B}" id="{82C1DF17-D9D0-4D88-8A25-DF97E5D61659}">
    <text>Estimate for us</text>
  </threadedComment>
  <threadedComment ref="I144" dT="2024-10-26T01:33:30.59" personId="{3EBC3CAC-5232-A241-AE21-FD94F6FC5C9B}" id="{CC3204DD-E359-4AF8-928A-AD5A494CCD8C}">
    <text>Estimate for us</text>
  </threadedComment>
  <threadedComment ref="C145" dT="2024-11-05T02:00:35.56" personId="{3EBC3CAC-5232-A241-AE21-FD94F6FC5C9B}" id="{0174CE6D-1227-45D9-A9B9-F262B610C775}">
    <text xml:space="preserve">Base map in the paper
</text>
  </threadedComment>
  <threadedComment ref="G145" dT="2024-10-26T01:33:30.59" personId="{3EBC3CAC-5232-A241-AE21-FD94F6FC5C9B}" id="{895AC79B-1423-48F7-A72C-DA0F4B1E864A}">
    <text>Estimate for us</text>
  </threadedComment>
  <threadedComment ref="I145" dT="2024-10-26T01:33:30.59" personId="{3EBC3CAC-5232-A241-AE21-FD94F6FC5C9B}" id="{45BEC29C-8BB2-4375-810E-5C7E41DC1DE7}">
    <text>Estimate for us</text>
  </threadedComment>
  <threadedComment ref="C146" dT="2024-11-05T02:00:35.56" personId="{3EBC3CAC-5232-A241-AE21-FD94F6FC5C9B}" id="{1BBC0344-7644-45F0-8670-2B6C64598A42}">
    <text xml:space="preserve">Base map in the paper
</text>
  </threadedComment>
  <threadedComment ref="G146" dT="2024-10-26T01:33:30.59" personId="{3EBC3CAC-5232-A241-AE21-FD94F6FC5C9B}" id="{4AA2EAD9-DFD8-4BD0-AEF4-44751BBC897E}">
    <text>Estimate for us</text>
  </threadedComment>
  <threadedComment ref="I146" dT="2024-10-26T01:33:30.59" personId="{3EBC3CAC-5232-A241-AE21-FD94F6FC5C9B}" id="{E2BA02C2-3C82-4BB8-8E63-4E9260E6A459}">
    <text>Estimate for us</text>
  </threadedComment>
  <threadedComment ref="C147" dT="2024-11-05T02:00:35.56" personId="{3EBC3CAC-5232-A241-AE21-FD94F6FC5C9B}" id="{C7CAC3FD-25AB-445D-A126-A55967334EE3}">
    <text xml:space="preserve">Base map in the paper
</text>
  </threadedComment>
  <threadedComment ref="G147" dT="2024-10-26T01:33:30.59" personId="{3EBC3CAC-5232-A241-AE21-FD94F6FC5C9B}" id="{E443C462-54D5-4A9E-9E16-F2143035370E}">
    <text>Estimate for us</text>
  </threadedComment>
  <threadedComment ref="I147" dT="2024-10-26T01:33:30.59" personId="{3EBC3CAC-5232-A241-AE21-FD94F6FC5C9B}" id="{E8BD64EB-7FEF-4DF8-9C6B-DF83D10AC1B2}">
    <text>Estimate for us</text>
  </threadedComment>
  <threadedComment ref="C148" dT="2024-11-05T02:00:35.56" personId="{3EBC3CAC-5232-A241-AE21-FD94F6FC5C9B}" id="{928EC816-E711-4A19-8206-11134A2D5A24}">
    <text xml:space="preserve">Base map in the paper
</text>
  </threadedComment>
  <threadedComment ref="G148" dT="2024-10-26T01:33:30.59" personId="{3EBC3CAC-5232-A241-AE21-FD94F6FC5C9B}" id="{DD037874-817F-406C-8ED4-B3FEFE32646A}">
    <text>Estimate for us</text>
  </threadedComment>
  <threadedComment ref="I148" dT="2024-10-26T01:33:30.59" personId="{3EBC3CAC-5232-A241-AE21-FD94F6FC5C9B}" id="{E512EC7A-9899-4D0B-81C8-FD4B9DD75022}">
    <text>Estimate for us</text>
  </threadedComment>
  <threadedComment ref="C149" dT="2024-11-05T02:00:35.56" personId="{3EBC3CAC-5232-A241-AE21-FD94F6FC5C9B}" id="{21CDF56C-C72A-4655-89F4-A42DF36552B7}">
    <text xml:space="preserve">Base map in the paper
</text>
  </threadedComment>
  <threadedComment ref="G149" dT="2024-10-26T01:33:30.59" personId="{3EBC3CAC-5232-A241-AE21-FD94F6FC5C9B}" id="{81B7B6FC-33AF-431B-B1FA-09CFF13B27F7}">
    <text>Estimate for us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8D70-A447-4F95-9846-F57F005441F7}">
  <dimension ref="A1:K163"/>
  <sheetViews>
    <sheetView tabSelected="1" zoomScaleNormal="150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baseColWidth="10" defaultColWidth="8.83203125" defaultRowHeight="15" x14ac:dyDescent="0.2"/>
  <cols>
    <col min="1" max="1" width="8.83203125" style="4"/>
    <col min="2" max="2" width="23.83203125" style="4" bestFit="1" customWidth="1"/>
    <col min="3" max="3" width="12.5" style="4" bestFit="1" customWidth="1"/>
    <col min="4" max="4" width="24.5" style="4" customWidth="1"/>
    <col min="5" max="6" width="8.83203125" style="23"/>
    <col min="7" max="8" width="8.83203125" style="15"/>
    <col min="9" max="9" width="13.5" style="15" customWidth="1"/>
    <col min="10" max="10" width="12.6640625" style="15" customWidth="1"/>
    <col min="11" max="16384" width="8.83203125" style="4"/>
  </cols>
  <sheetData>
    <row r="1" spans="1:10" s="1" customFormat="1" ht="48" x14ac:dyDescent="0.2">
      <c r="A1" s="1" t="s">
        <v>0</v>
      </c>
      <c r="B1" s="1" t="s">
        <v>32</v>
      </c>
      <c r="C1" s="1" t="s">
        <v>31</v>
      </c>
      <c r="D1" s="1" t="s">
        <v>1</v>
      </c>
      <c r="E1" s="19" t="s">
        <v>27</v>
      </c>
      <c r="F1" s="19" t="s">
        <v>28</v>
      </c>
      <c r="G1" s="6" t="s">
        <v>4</v>
      </c>
      <c r="H1" s="6" t="s">
        <v>29</v>
      </c>
      <c r="I1" s="6" t="s">
        <v>5</v>
      </c>
      <c r="J1" s="6" t="s">
        <v>30</v>
      </c>
    </row>
    <row r="2" spans="1:10" s="2" customFormat="1" x14ac:dyDescent="0.2">
      <c r="A2" s="7">
        <v>2024</v>
      </c>
      <c r="B2" s="7" t="s">
        <v>14</v>
      </c>
      <c r="C2" s="7" t="s">
        <v>18</v>
      </c>
      <c r="D2" s="9" t="s">
        <v>10</v>
      </c>
      <c r="E2" s="20">
        <v>42</v>
      </c>
      <c r="F2" s="20">
        <v>126</v>
      </c>
      <c r="G2" s="13">
        <v>3</v>
      </c>
      <c r="H2" s="13">
        <f>F2/E2</f>
        <v>3</v>
      </c>
      <c r="I2" s="13">
        <v>7.0000000000000007E-2</v>
      </c>
      <c r="J2" s="13">
        <f t="shared" ref="J2:J33" si="0">F2/(E2^2)</f>
        <v>7.1428571428571425E-2</v>
      </c>
    </row>
    <row r="3" spans="1:10" s="2" customFormat="1" x14ac:dyDescent="0.2">
      <c r="A3" s="7">
        <v>2024</v>
      </c>
      <c r="B3" s="7" t="s">
        <v>14</v>
      </c>
      <c r="C3" s="7" t="s">
        <v>17</v>
      </c>
      <c r="D3" s="9" t="s">
        <v>10</v>
      </c>
      <c r="E3" s="20">
        <v>41</v>
      </c>
      <c r="F3" s="20">
        <v>115</v>
      </c>
      <c r="G3" s="13">
        <v>2.8</v>
      </c>
      <c r="H3" s="13">
        <f t="shared" ref="H3:H64" si="1">F3/E3</f>
        <v>2.8048780487804876</v>
      </c>
      <c r="I3" s="13">
        <v>7.0000000000000007E-2</v>
      </c>
      <c r="J3" s="13">
        <f t="shared" si="0"/>
        <v>6.8411659726353366E-2</v>
      </c>
    </row>
    <row r="4" spans="1:10" s="10" customFormat="1" x14ac:dyDescent="0.2">
      <c r="A4" s="10">
        <v>2024</v>
      </c>
      <c r="B4" s="10" t="s">
        <v>14</v>
      </c>
      <c r="C4" s="10" t="s">
        <v>18</v>
      </c>
      <c r="D4" s="11" t="s">
        <v>11</v>
      </c>
      <c r="E4" s="21">
        <v>65</v>
      </c>
      <c r="F4" s="21">
        <v>238</v>
      </c>
      <c r="G4" s="14">
        <v>3.66</v>
      </c>
      <c r="H4" s="13">
        <f t="shared" si="1"/>
        <v>3.6615384615384614</v>
      </c>
      <c r="I4" s="14">
        <v>0.06</v>
      </c>
      <c r="J4" s="13">
        <f t="shared" si="0"/>
        <v>5.6331360946745561E-2</v>
      </c>
    </row>
    <row r="5" spans="1:10" x14ac:dyDescent="0.2">
      <c r="A5" s="7">
        <v>2024</v>
      </c>
      <c r="B5" s="7" t="s">
        <v>14</v>
      </c>
      <c r="C5" s="7" t="s">
        <v>17</v>
      </c>
      <c r="D5" s="9" t="s">
        <v>11</v>
      </c>
      <c r="E5" s="20">
        <v>63</v>
      </c>
      <c r="F5" s="20">
        <v>217</v>
      </c>
      <c r="G5" s="13">
        <v>3.66</v>
      </c>
      <c r="H5" s="13">
        <f t="shared" si="1"/>
        <v>3.4444444444444446</v>
      </c>
      <c r="I5" s="13">
        <v>0.06</v>
      </c>
      <c r="J5" s="13">
        <f t="shared" si="0"/>
        <v>5.4673721340388004E-2</v>
      </c>
    </row>
    <row r="6" spans="1:10" x14ac:dyDescent="0.2">
      <c r="A6" s="7">
        <v>2013</v>
      </c>
      <c r="B6" s="7" t="s">
        <v>6</v>
      </c>
      <c r="C6" s="7" t="s">
        <v>17</v>
      </c>
      <c r="D6" s="7" t="s">
        <v>9</v>
      </c>
      <c r="E6" s="22">
        <v>13</v>
      </c>
      <c r="F6" s="22">
        <v>18</v>
      </c>
      <c r="G6" s="13">
        <f t="shared" ref="G6:G17" si="2">F6/E6</f>
        <v>1.3846153846153846</v>
      </c>
      <c r="H6" s="13">
        <f t="shared" si="1"/>
        <v>1.3846153846153846</v>
      </c>
      <c r="I6" s="17">
        <v>0.23100000000000001</v>
      </c>
      <c r="J6" s="13">
        <f t="shared" si="0"/>
        <v>0.10650887573964497</v>
      </c>
    </row>
    <row r="7" spans="1:10" x14ac:dyDescent="0.2">
      <c r="A7" s="7">
        <v>2013</v>
      </c>
      <c r="B7" s="7" t="s">
        <v>6</v>
      </c>
      <c r="C7" s="4" t="s">
        <v>19</v>
      </c>
      <c r="D7" s="7" t="s">
        <v>9</v>
      </c>
      <c r="E7" s="22">
        <v>15</v>
      </c>
      <c r="F7" s="23">
        <v>27</v>
      </c>
      <c r="G7" s="13">
        <f t="shared" si="2"/>
        <v>1.8</v>
      </c>
      <c r="H7" s="13">
        <f t="shared" si="1"/>
        <v>1.8</v>
      </c>
      <c r="I7" s="17">
        <v>0.25700000000000001</v>
      </c>
      <c r="J7" s="13">
        <f t="shared" si="0"/>
        <v>0.12</v>
      </c>
    </row>
    <row r="8" spans="1:10" x14ac:dyDescent="0.2">
      <c r="A8" s="7">
        <v>2013</v>
      </c>
      <c r="B8" s="7" t="s">
        <v>6</v>
      </c>
      <c r="C8" s="4" t="s">
        <v>19</v>
      </c>
      <c r="D8" s="7" t="s">
        <v>9</v>
      </c>
      <c r="E8" s="22">
        <v>15</v>
      </c>
      <c r="F8" s="23">
        <v>32</v>
      </c>
      <c r="G8" s="13">
        <f t="shared" si="2"/>
        <v>2.1333333333333333</v>
      </c>
      <c r="H8" s="13">
        <f t="shared" si="1"/>
        <v>2.1333333333333333</v>
      </c>
      <c r="I8" s="17">
        <v>0.30499999999999999</v>
      </c>
      <c r="J8" s="13">
        <f t="shared" si="0"/>
        <v>0.14222222222222222</v>
      </c>
    </row>
    <row r="9" spans="1:10" x14ac:dyDescent="0.2">
      <c r="A9" s="7">
        <v>2013</v>
      </c>
      <c r="B9" s="7" t="s">
        <v>6</v>
      </c>
      <c r="C9" s="4" t="s">
        <v>17</v>
      </c>
      <c r="D9" s="7" t="s">
        <v>9</v>
      </c>
      <c r="E9" s="22">
        <v>14</v>
      </c>
      <c r="F9" s="21">
        <v>28</v>
      </c>
      <c r="G9" s="13">
        <f t="shared" si="2"/>
        <v>2</v>
      </c>
      <c r="H9" s="13">
        <f t="shared" si="1"/>
        <v>2</v>
      </c>
      <c r="I9" s="17">
        <v>0.308</v>
      </c>
      <c r="J9" s="13">
        <f t="shared" si="0"/>
        <v>0.14285714285714285</v>
      </c>
    </row>
    <row r="10" spans="1:10" x14ac:dyDescent="0.2">
      <c r="A10" s="7">
        <v>2013</v>
      </c>
      <c r="B10" s="7" t="s">
        <v>6</v>
      </c>
      <c r="C10" s="4" t="s">
        <v>19</v>
      </c>
      <c r="D10" s="7" t="s">
        <v>9</v>
      </c>
      <c r="E10" s="22">
        <v>17</v>
      </c>
      <c r="F10" s="23">
        <v>43</v>
      </c>
      <c r="G10" s="13">
        <f t="shared" si="2"/>
        <v>2.5294117647058822</v>
      </c>
      <c r="H10" s="13">
        <f t="shared" si="1"/>
        <v>2.5294117647058822</v>
      </c>
      <c r="I10" s="17">
        <v>0.316</v>
      </c>
      <c r="J10" s="13">
        <f t="shared" si="0"/>
        <v>0.14878892733564014</v>
      </c>
    </row>
    <row r="11" spans="1:10" x14ac:dyDescent="0.2">
      <c r="A11" s="7">
        <v>2013</v>
      </c>
      <c r="B11" s="7" t="s">
        <v>6</v>
      </c>
      <c r="C11" s="4" t="s">
        <v>19</v>
      </c>
      <c r="D11" s="7" t="s">
        <v>9</v>
      </c>
      <c r="E11" s="22">
        <v>14</v>
      </c>
      <c r="F11" s="23">
        <v>29</v>
      </c>
      <c r="G11" s="13">
        <f t="shared" si="2"/>
        <v>2.0714285714285716</v>
      </c>
      <c r="H11" s="13">
        <f t="shared" si="1"/>
        <v>2.0714285714285716</v>
      </c>
      <c r="I11" s="17">
        <v>0.31900000000000001</v>
      </c>
      <c r="J11" s="13">
        <f t="shared" si="0"/>
        <v>0.14795918367346939</v>
      </c>
    </row>
    <row r="12" spans="1:10" x14ac:dyDescent="0.2">
      <c r="A12" s="7">
        <v>2013</v>
      </c>
      <c r="B12" s="7" t="s">
        <v>6</v>
      </c>
      <c r="C12" s="4" t="s">
        <v>17</v>
      </c>
      <c r="D12" s="7" t="s">
        <v>9</v>
      </c>
      <c r="E12" s="22">
        <v>13</v>
      </c>
      <c r="F12" s="23">
        <v>25</v>
      </c>
      <c r="G12" s="13">
        <f t="shared" si="2"/>
        <v>1.9230769230769231</v>
      </c>
      <c r="H12" s="13">
        <f t="shared" si="1"/>
        <v>1.9230769230769231</v>
      </c>
      <c r="I12" s="17">
        <v>0.32100000000000001</v>
      </c>
      <c r="J12" s="13">
        <f t="shared" si="0"/>
        <v>0.14792899408284024</v>
      </c>
    </row>
    <row r="13" spans="1:10" x14ac:dyDescent="0.2">
      <c r="A13" s="7">
        <v>2013</v>
      </c>
      <c r="B13" s="7" t="s">
        <v>6</v>
      </c>
      <c r="C13" s="4" t="s">
        <v>18</v>
      </c>
      <c r="D13" s="7" t="s">
        <v>9</v>
      </c>
      <c r="E13" s="22">
        <v>13</v>
      </c>
      <c r="F13" s="22">
        <v>25</v>
      </c>
      <c r="G13" s="13">
        <f t="shared" si="2"/>
        <v>1.9230769230769231</v>
      </c>
      <c r="H13" s="13">
        <f t="shared" si="1"/>
        <v>1.9230769230769231</v>
      </c>
      <c r="I13" s="17">
        <v>0.32100000000000001</v>
      </c>
      <c r="J13" s="13">
        <f t="shared" si="0"/>
        <v>0.14792899408284024</v>
      </c>
    </row>
    <row r="14" spans="1:10" x14ac:dyDescent="0.2">
      <c r="A14" s="7">
        <v>2013</v>
      </c>
      <c r="B14" s="7" t="s">
        <v>6</v>
      </c>
      <c r="C14" s="4" t="s">
        <v>19</v>
      </c>
      <c r="D14" s="7" t="s">
        <v>9</v>
      </c>
      <c r="E14" s="22">
        <v>14</v>
      </c>
      <c r="F14" s="22">
        <v>32</v>
      </c>
      <c r="G14" s="13">
        <f t="shared" si="2"/>
        <v>2.2857142857142856</v>
      </c>
      <c r="H14" s="13">
        <f t="shared" si="1"/>
        <v>2.2857142857142856</v>
      </c>
      <c r="I14" s="17">
        <v>0.35199999999999998</v>
      </c>
      <c r="J14" s="13">
        <f t="shared" si="0"/>
        <v>0.16326530612244897</v>
      </c>
    </row>
    <row r="15" spans="1:10" x14ac:dyDescent="0.2">
      <c r="A15" s="7">
        <v>2013</v>
      </c>
      <c r="B15" s="7" t="s">
        <v>6</v>
      </c>
      <c r="C15" s="4" t="s">
        <v>17</v>
      </c>
      <c r="D15" s="7" t="s">
        <v>9</v>
      </c>
      <c r="E15" s="22">
        <v>15</v>
      </c>
      <c r="F15" s="22">
        <v>37</v>
      </c>
      <c r="G15" s="13">
        <f t="shared" si="2"/>
        <v>2.4666666666666668</v>
      </c>
      <c r="H15" s="13">
        <f t="shared" si="1"/>
        <v>2.4666666666666668</v>
      </c>
      <c r="I15" s="17">
        <v>0.35199999999999998</v>
      </c>
      <c r="J15" s="13">
        <f t="shared" si="0"/>
        <v>0.16444444444444445</v>
      </c>
    </row>
    <row r="16" spans="1:10" x14ac:dyDescent="0.2">
      <c r="A16" s="7">
        <v>2013</v>
      </c>
      <c r="B16" s="7" t="s">
        <v>6</v>
      </c>
      <c r="C16" s="4" t="s">
        <v>17</v>
      </c>
      <c r="D16" s="7" t="s">
        <v>9</v>
      </c>
      <c r="E16" s="22">
        <v>13</v>
      </c>
      <c r="F16" s="22">
        <v>29</v>
      </c>
      <c r="G16" s="13">
        <f t="shared" si="2"/>
        <v>2.2307692307692308</v>
      </c>
      <c r="H16" s="13">
        <f t="shared" si="1"/>
        <v>2.2307692307692308</v>
      </c>
      <c r="I16" s="17">
        <v>0.372</v>
      </c>
      <c r="J16" s="13">
        <f t="shared" si="0"/>
        <v>0.17159763313609466</v>
      </c>
    </row>
    <row r="17" spans="1:11" x14ac:dyDescent="0.2">
      <c r="A17" s="7">
        <v>2013</v>
      </c>
      <c r="B17" s="7" t="s">
        <v>6</v>
      </c>
      <c r="C17" s="4" t="s">
        <v>17</v>
      </c>
      <c r="D17" s="7" t="s">
        <v>9</v>
      </c>
      <c r="E17" s="22">
        <v>14</v>
      </c>
      <c r="F17" s="22">
        <v>35</v>
      </c>
      <c r="G17" s="17">
        <f t="shared" si="2"/>
        <v>2.5</v>
      </c>
      <c r="H17" s="13">
        <f t="shared" si="1"/>
        <v>2.5</v>
      </c>
      <c r="I17" s="17">
        <v>0.38500000000000001</v>
      </c>
      <c r="J17" s="13">
        <f t="shared" si="0"/>
        <v>0.17857142857142858</v>
      </c>
    </row>
    <row r="18" spans="1:11" ht="14" customHeight="1" x14ac:dyDescent="0.2">
      <c r="A18" s="7">
        <v>2012</v>
      </c>
      <c r="B18" s="7" t="s">
        <v>6</v>
      </c>
      <c r="C18" s="7" t="s">
        <v>17</v>
      </c>
      <c r="D18" s="7" t="s">
        <v>9</v>
      </c>
      <c r="E18" s="20">
        <v>87</v>
      </c>
      <c r="F18" s="20">
        <v>238</v>
      </c>
      <c r="G18" s="13">
        <v>2.74</v>
      </c>
      <c r="H18" s="13">
        <f t="shared" si="1"/>
        <v>2.735632183908046</v>
      </c>
      <c r="I18" s="13">
        <v>0.06</v>
      </c>
      <c r="J18" s="13">
        <f t="shared" si="0"/>
        <v>3.1444048090897077E-2</v>
      </c>
      <c r="K18" s="7"/>
    </row>
    <row r="19" spans="1:11" s="10" customFormat="1" x14ac:dyDescent="0.2">
      <c r="A19" s="10">
        <v>2012</v>
      </c>
      <c r="B19" s="10" t="s">
        <v>6</v>
      </c>
      <c r="C19" s="10" t="s">
        <v>17</v>
      </c>
      <c r="D19" s="10" t="s">
        <v>7</v>
      </c>
      <c r="E19" s="21">
        <v>85</v>
      </c>
      <c r="F19" s="21">
        <v>228</v>
      </c>
      <c r="G19" s="14">
        <v>2.68</v>
      </c>
      <c r="H19" s="13">
        <f t="shared" si="1"/>
        <v>2.6823529411764704</v>
      </c>
      <c r="I19" s="14">
        <v>0.06</v>
      </c>
      <c r="J19" s="13">
        <f t="shared" si="0"/>
        <v>3.1557093425605538E-2</v>
      </c>
    </row>
    <row r="20" spans="1:11" s="8" customFormat="1" x14ac:dyDescent="0.2">
      <c r="A20" s="7">
        <v>2012</v>
      </c>
      <c r="B20" s="7" t="s">
        <v>6</v>
      </c>
      <c r="C20" s="7" t="s">
        <v>17</v>
      </c>
      <c r="D20" s="7" t="s">
        <v>7</v>
      </c>
      <c r="E20" s="20">
        <v>88</v>
      </c>
      <c r="F20" s="20">
        <v>274</v>
      </c>
      <c r="G20" s="13">
        <v>3.11</v>
      </c>
      <c r="H20" s="13">
        <f t="shared" si="1"/>
        <v>3.1136363636363638</v>
      </c>
      <c r="I20" s="13">
        <v>7.0000000000000007E-2</v>
      </c>
      <c r="J20" s="13">
        <f t="shared" si="0"/>
        <v>3.5382231404958678E-2</v>
      </c>
    </row>
    <row r="21" spans="1:11" x14ac:dyDescent="0.2">
      <c r="A21" s="7">
        <v>2012</v>
      </c>
      <c r="B21" s="7" t="s">
        <v>6</v>
      </c>
      <c r="C21" s="7" t="s">
        <v>17</v>
      </c>
      <c r="D21" s="7" t="s">
        <v>7</v>
      </c>
      <c r="E21" s="20">
        <v>78</v>
      </c>
      <c r="F21" s="20">
        <v>234</v>
      </c>
      <c r="G21" s="13">
        <v>3</v>
      </c>
      <c r="H21" s="13">
        <f t="shared" si="1"/>
        <v>3</v>
      </c>
      <c r="I21" s="13">
        <v>0.08</v>
      </c>
      <c r="J21" s="13">
        <f t="shared" si="0"/>
        <v>3.8461538461538464E-2</v>
      </c>
      <c r="K21" s="7"/>
    </row>
    <row r="22" spans="1:11" x14ac:dyDescent="0.2">
      <c r="A22" s="7">
        <v>2014</v>
      </c>
      <c r="B22" s="7" t="s">
        <v>6</v>
      </c>
      <c r="C22" s="7" t="s">
        <v>17</v>
      </c>
      <c r="D22" s="7" t="s">
        <v>22</v>
      </c>
      <c r="E22" s="20">
        <v>106</v>
      </c>
      <c r="F22" s="20">
        <v>261</v>
      </c>
      <c r="G22" s="13">
        <v>2.46</v>
      </c>
      <c r="H22" s="13">
        <f t="shared" si="1"/>
        <v>2.4622641509433962</v>
      </c>
      <c r="I22" s="13">
        <v>0.05</v>
      </c>
      <c r="J22" s="13">
        <f t="shared" si="0"/>
        <v>2.3228907084371662E-2</v>
      </c>
      <c r="K22" s="7"/>
    </row>
    <row r="23" spans="1:11" x14ac:dyDescent="0.2">
      <c r="A23" s="7">
        <v>2014</v>
      </c>
      <c r="B23" s="7" t="s">
        <v>6</v>
      </c>
      <c r="C23" s="7" t="s">
        <v>17</v>
      </c>
      <c r="D23" s="7" t="s">
        <v>22</v>
      </c>
      <c r="E23" s="24">
        <v>107</v>
      </c>
      <c r="F23" s="20">
        <v>261</v>
      </c>
      <c r="G23" s="13">
        <v>2.44</v>
      </c>
      <c r="H23" s="13">
        <f t="shared" si="1"/>
        <v>2.4392523364485981</v>
      </c>
      <c r="I23" s="13">
        <v>0.05</v>
      </c>
      <c r="J23" s="13">
        <f t="shared" si="0"/>
        <v>2.2796750807930824E-2</v>
      </c>
      <c r="K23" s="7"/>
    </row>
    <row r="24" spans="1:11" x14ac:dyDescent="0.2">
      <c r="A24" s="4">
        <v>2005</v>
      </c>
      <c r="B24" s="7" t="s">
        <v>6</v>
      </c>
      <c r="C24" s="4" t="s">
        <v>19</v>
      </c>
      <c r="D24" s="4" t="s">
        <v>7</v>
      </c>
      <c r="E24" s="20">
        <v>27.75</v>
      </c>
      <c r="F24" s="20">
        <v>95.5</v>
      </c>
      <c r="G24" s="15">
        <f>F24/E24</f>
        <v>3.4414414414414414</v>
      </c>
      <c r="H24" s="13">
        <f t="shared" si="1"/>
        <v>3.4414414414414414</v>
      </c>
      <c r="I24" s="15">
        <v>0.26</v>
      </c>
      <c r="J24" s="13">
        <f t="shared" si="0"/>
        <v>0.12401590779969159</v>
      </c>
      <c r="K24" s="7"/>
    </row>
    <row r="25" spans="1:11" x14ac:dyDescent="0.2">
      <c r="A25" s="4">
        <v>2005</v>
      </c>
      <c r="B25" s="7" t="s">
        <v>6</v>
      </c>
      <c r="C25" s="4" t="s">
        <v>19</v>
      </c>
      <c r="D25" s="4" t="s">
        <v>7</v>
      </c>
      <c r="E25" s="20">
        <v>32.5</v>
      </c>
      <c r="F25" s="20">
        <v>114.4</v>
      </c>
      <c r="G25" s="15">
        <f>F25/E25</f>
        <v>3.52</v>
      </c>
      <c r="H25" s="13">
        <f t="shared" si="1"/>
        <v>3.52</v>
      </c>
      <c r="I25" s="15">
        <v>0.22</v>
      </c>
      <c r="J25" s="13">
        <f t="shared" si="0"/>
        <v>0.10830769230769231</v>
      </c>
      <c r="K25" s="7"/>
    </row>
    <row r="26" spans="1:11" x14ac:dyDescent="0.2">
      <c r="A26" s="4">
        <v>2005</v>
      </c>
      <c r="B26" s="7" t="s">
        <v>6</v>
      </c>
      <c r="C26" s="4" t="s">
        <v>19</v>
      </c>
      <c r="D26" s="4" t="s">
        <v>7</v>
      </c>
      <c r="E26" s="20">
        <v>38.75</v>
      </c>
      <c r="F26" s="20">
        <v>142.25</v>
      </c>
      <c r="G26" s="15">
        <f>F26/E26</f>
        <v>3.6709677419354838</v>
      </c>
      <c r="H26" s="13">
        <f t="shared" si="1"/>
        <v>3.6709677419354838</v>
      </c>
      <c r="I26" s="15">
        <v>0.19</v>
      </c>
      <c r="J26" s="13">
        <f t="shared" si="0"/>
        <v>9.4734651404786679E-2</v>
      </c>
      <c r="K26" s="7"/>
    </row>
    <row r="27" spans="1:11" x14ac:dyDescent="0.2">
      <c r="A27" s="4">
        <v>2005</v>
      </c>
      <c r="B27" s="7" t="s">
        <v>6</v>
      </c>
      <c r="C27" s="4" t="s">
        <v>19</v>
      </c>
      <c r="D27" s="4" t="s">
        <v>7</v>
      </c>
      <c r="E27" s="20">
        <v>40.5</v>
      </c>
      <c r="F27" s="20">
        <v>149</v>
      </c>
      <c r="G27" s="15">
        <f>F27/E27</f>
        <v>3.6790123456790123</v>
      </c>
      <c r="H27" s="13">
        <f t="shared" si="1"/>
        <v>3.6790123456790123</v>
      </c>
      <c r="I27" s="15">
        <v>0.19</v>
      </c>
      <c r="J27" s="13">
        <f t="shared" si="0"/>
        <v>9.0839811004420054E-2</v>
      </c>
      <c r="K27" s="7"/>
    </row>
    <row r="28" spans="1:11" x14ac:dyDescent="0.2">
      <c r="A28" s="7">
        <v>2013</v>
      </c>
      <c r="B28" s="7" t="s">
        <v>14</v>
      </c>
      <c r="C28" s="7" t="s">
        <v>17</v>
      </c>
      <c r="D28" s="7" t="s">
        <v>12</v>
      </c>
      <c r="E28" s="20">
        <v>13</v>
      </c>
      <c r="F28" s="20">
        <v>16</v>
      </c>
      <c r="G28" s="13">
        <v>1.23</v>
      </c>
      <c r="H28" s="13">
        <f t="shared" si="1"/>
        <v>1.2307692307692308</v>
      </c>
      <c r="I28" s="13">
        <v>0.05</v>
      </c>
      <c r="J28" s="13">
        <f t="shared" si="0"/>
        <v>9.4674556213017749E-2</v>
      </c>
      <c r="K28" s="7"/>
    </row>
    <row r="29" spans="1:11" x14ac:dyDescent="0.2">
      <c r="A29" s="7">
        <v>2013</v>
      </c>
      <c r="B29" s="7" t="s">
        <v>14</v>
      </c>
      <c r="C29" s="7" t="s">
        <v>17</v>
      </c>
      <c r="D29" s="7" t="s">
        <v>7</v>
      </c>
      <c r="E29" s="20">
        <v>19</v>
      </c>
      <c r="F29" s="20">
        <v>51</v>
      </c>
      <c r="G29" s="13">
        <v>2.68</v>
      </c>
      <c r="H29" s="13">
        <f t="shared" si="1"/>
        <v>2.6842105263157894</v>
      </c>
      <c r="I29" s="13">
        <v>0.14000000000000001</v>
      </c>
      <c r="J29" s="13">
        <f t="shared" si="0"/>
        <v>0.14127423822714683</v>
      </c>
      <c r="K29" s="7"/>
    </row>
    <row r="30" spans="1:11" x14ac:dyDescent="0.2">
      <c r="A30" s="7">
        <v>2013</v>
      </c>
      <c r="B30" s="7" t="s">
        <v>14</v>
      </c>
      <c r="C30" s="7" t="s">
        <v>17</v>
      </c>
      <c r="D30" s="7" t="s">
        <v>7</v>
      </c>
      <c r="E30" s="20">
        <v>19</v>
      </c>
      <c r="F30" s="20">
        <v>67</v>
      </c>
      <c r="G30" s="13">
        <v>3.53</v>
      </c>
      <c r="H30" s="13">
        <f t="shared" si="1"/>
        <v>3.5263157894736841</v>
      </c>
      <c r="I30" s="13">
        <v>0.19</v>
      </c>
      <c r="J30" s="13">
        <f t="shared" si="0"/>
        <v>0.18559556786703602</v>
      </c>
      <c r="K30" s="7"/>
    </row>
    <row r="31" spans="1:11" x14ac:dyDescent="0.2">
      <c r="A31" s="4">
        <v>2016</v>
      </c>
      <c r="B31" s="4" t="s">
        <v>6</v>
      </c>
      <c r="C31" s="4" t="s">
        <v>18</v>
      </c>
      <c r="D31" s="4" t="s">
        <v>8</v>
      </c>
      <c r="E31" s="23">
        <v>39</v>
      </c>
      <c r="F31" s="22">
        <v>70</v>
      </c>
      <c r="G31" s="17">
        <v>6.96</v>
      </c>
      <c r="H31" s="13">
        <f t="shared" si="1"/>
        <v>1.7948717948717949</v>
      </c>
      <c r="I31" s="17">
        <v>0.19</v>
      </c>
      <c r="J31" s="13">
        <f t="shared" si="0"/>
        <v>4.6022353714661408E-2</v>
      </c>
    </row>
    <row r="32" spans="1:11" x14ac:dyDescent="0.2">
      <c r="A32" s="4">
        <v>2016</v>
      </c>
      <c r="B32" s="4" t="s">
        <v>6</v>
      </c>
      <c r="C32" s="4" t="s">
        <v>17</v>
      </c>
      <c r="D32" s="4" t="s">
        <v>8</v>
      </c>
      <c r="E32" s="23">
        <v>39</v>
      </c>
      <c r="F32" s="22">
        <v>62</v>
      </c>
      <c r="G32" s="17">
        <v>5.07</v>
      </c>
      <c r="H32" s="13">
        <f t="shared" si="1"/>
        <v>1.5897435897435896</v>
      </c>
      <c r="I32" s="17">
        <v>0.17</v>
      </c>
      <c r="J32" s="13">
        <f t="shared" si="0"/>
        <v>4.076265614727153E-2</v>
      </c>
    </row>
    <row r="33" spans="1:10" x14ac:dyDescent="0.2">
      <c r="A33" s="4">
        <v>2016</v>
      </c>
      <c r="B33" s="4" t="s">
        <v>6</v>
      </c>
      <c r="C33" s="4" t="s">
        <v>18</v>
      </c>
      <c r="D33" s="4" t="s">
        <v>8</v>
      </c>
      <c r="E33" s="21">
        <v>43</v>
      </c>
      <c r="F33" s="22">
        <v>86</v>
      </c>
      <c r="G33" s="17">
        <v>6.92</v>
      </c>
      <c r="H33" s="13">
        <f t="shared" si="1"/>
        <v>2</v>
      </c>
      <c r="I33" s="17">
        <v>0.2</v>
      </c>
      <c r="J33" s="13">
        <f t="shared" si="0"/>
        <v>4.6511627906976744E-2</v>
      </c>
    </row>
    <row r="34" spans="1:10" x14ac:dyDescent="0.2">
      <c r="A34" s="4">
        <v>2016</v>
      </c>
      <c r="B34" s="4" t="s">
        <v>6</v>
      </c>
      <c r="C34" s="4" t="s">
        <v>17</v>
      </c>
      <c r="D34" s="4" t="s">
        <v>8</v>
      </c>
      <c r="E34" s="23">
        <v>23</v>
      </c>
      <c r="F34" s="22">
        <v>34</v>
      </c>
      <c r="G34" s="17">
        <v>4.1399999999999997</v>
      </c>
      <c r="H34" s="13">
        <f>F34/E34</f>
        <v>1.4782608695652173</v>
      </c>
      <c r="I34" s="17">
        <v>0.28000000000000003</v>
      </c>
      <c r="J34" s="13">
        <f t="shared" ref="J34:J65" si="3">F34/(E34^2)</f>
        <v>6.4272211720226846E-2</v>
      </c>
    </row>
    <row r="35" spans="1:10" x14ac:dyDescent="0.2">
      <c r="A35" s="4">
        <v>2016</v>
      </c>
      <c r="B35" s="4" t="s">
        <v>6</v>
      </c>
      <c r="C35" s="4" t="s">
        <v>17</v>
      </c>
      <c r="D35" s="4" t="s">
        <v>8</v>
      </c>
      <c r="E35" s="23">
        <v>44</v>
      </c>
      <c r="F35" s="22">
        <v>68</v>
      </c>
      <c r="G35" s="17">
        <v>7.29</v>
      </c>
      <c r="H35" s="13">
        <f t="shared" si="1"/>
        <v>1.5454545454545454</v>
      </c>
      <c r="I35" s="17">
        <v>0.16</v>
      </c>
      <c r="J35" s="13">
        <f t="shared" si="3"/>
        <v>3.5123966942148761E-2</v>
      </c>
    </row>
    <row r="36" spans="1:10" x14ac:dyDescent="0.2">
      <c r="A36" s="4">
        <v>2016</v>
      </c>
      <c r="B36" s="4" t="s">
        <v>6</v>
      </c>
      <c r="C36" s="4" t="s">
        <v>17</v>
      </c>
      <c r="D36" s="4" t="s">
        <v>8</v>
      </c>
      <c r="E36" s="23">
        <v>19</v>
      </c>
      <c r="F36" s="22">
        <v>32</v>
      </c>
      <c r="G36" s="17">
        <v>4.96</v>
      </c>
      <c r="H36" s="13">
        <f t="shared" si="1"/>
        <v>1.6842105263157894</v>
      </c>
      <c r="I36" s="17">
        <v>0.53</v>
      </c>
      <c r="J36" s="13">
        <f t="shared" si="3"/>
        <v>8.8642659279778394E-2</v>
      </c>
    </row>
    <row r="37" spans="1:10" x14ac:dyDescent="0.2">
      <c r="A37" s="4">
        <v>2016</v>
      </c>
      <c r="B37" s="4" t="s">
        <v>6</v>
      </c>
      <c r="C37" s="4" t="s">
        <v>17</v>
      </c>
      <c r="D37" s="4" t="s">
        <v>8</v>
      </c>
      <c r="E37" s="22">
        <v>18</v>
      </c>
      <c r="F37" s="22">
        <v>28</v>
      </c>
      <c r="G37" s="17">
        <v>3.19</v>
      </c>
      <c r="H37" s="13">
        <f t="shared" si="1"/>
        <v>1.5555555555555556</v>
      </c>
      <c r="I37" s="17">
        <v>0.5</v>
      </c>
      <c r="J37" s="13">
        <f t="shared" si="3"/>
        <v>8.6419753086419748E-2</v>
      </c>
    </row>
    <row r="38" spans="1:10" x14ac:dyDescent="0.2">
      <c r="A38" s="4">
        <v>2016</v>
      </c>
      <c r="B38" s="4" t="s">
        <v>6</v>
      </c>
      <c r="C38" s="4" t="s">
        <v>17</v>
      </c>
      <c r="D38" s="4" t="s">
        <v>8</v>
      </c>
      <c r="E38" s="22">
        <v>15</v>
      </c>
      <c r="F38" s="22">
        <v>21</v>
      </c>
      <c r="G38" s="17">
        <v>2.5</v>
      </c>
      <c r="H38" s="13">
        <f t="shared" si="1"/>
        <v>1.4</v>
      </c>
      <c r="I38" s="17">
        <v>0.57999999999999996</v>
      </c>
      <c r="J38" s="13">
        <f t="shared" si="3"/>
        <v>9.3333333333333338E-2</v>
      </c>
    </row>
    <row r="39" spans="1:10" x14ac:dyDescent="0.2">
      <c r="A39" s="4">
        <v>2016</v>
      </c>
      <c r="B39" s="4" t="s">
        <v>6</v>
      </c>
      <c r="C39" s="4" t="s">
        <v>18</v>
      </c>
      <c r="D39" s="4" t="s">
        <v>8</v>
      </c>
      <c r="E39" s="22">
        <v>32</v>
      </c>
      <c r="F39" s="22">
        <v>45</v>
      </c>
      <c r="G39" s="17">
        <v>5.08</v>
      </c>
      <c r="H39" s="13">
        <f t="shared" si="1"/>
        <v>1.40625</v>
      </c>
      <c r="I39" s="17">
        <v>0.18</v>
      </c>
      <c r="J39" s="13">
        <f t="shared" si="3"/>
        <v>4.39453125E-2</v>
      </c>
    </row>
    <row r="40" spans="1:10" x14ac:dyDescent="0.2">
      <c r="A40" s="4">
        <v>2016</v>
      </c>
      <c r="B40" s="4" t="s">
        <v>6</v>
      </c>
      <c r="C40" s="4" t="s">
        <v>18</v>
      </c>
      <c r="D40" s="4" t="s">
        <v>8</v>
      </c>
      <c r="E40" s="22">
        <v>14</v>
      </c>
      <c r="F40" s="22">
        <v>20</v>
      </c>
      <c r="G40" s="17">
        <v>2.66</v>
      </c>
      <c r="H40" s="13">
        <f t="shared" si="1"/>
        <v>1.4285714285714286</v>
      </c>
      <c r="I40" s="17">
        <v>0.42</v>
      </c>
      <c r="J40" s="13">
        <f t="shared" si="3"/>
        <v>0.10204081632653061</v>
      </c>
    </row>
    <row r="41" spans="1:10" x14ac:dyDescent="0.2">
      <c r="A41" s="4">
        <v>2016</v>
      </c>
      <c r="B41" s="4" t="s">
        <v>6</v>
      </c>
      <c r="C41" s="4" t="s">
        <v>17</v>
      </c>
      <c r="D41" s="4" t="s">
        <v>7</v>
      </c>
      <c r="E41" s="22">
        <v>57</v>
      </c>
      <c r="F41" s="22">
        <v>114</v>
      </c>
      <c r="G41" s="17">
        <v>5.77</v>
      </c>
      <c r="H41" s="13">
        <f t="shared" si="1"/>
        <v>2</v>
      </c>
      <c r="I41" s="17">
        <v>0.15</v>
      </c>
      <c r="J41" s="13">
        <f t="shared" si="3"/>
        <v>3.5087719298245612E-2</v>
      </c>
    </row>
    <row r="42" spans="1:10" x14ac:dyDescent="0.2">
      <c r="A42" s="4">
        <v>2016</v>
      </c>
      <c r="B42" s="4" t="s">
        <v>6</v>
      </c>
      <c r="C42" s="4" t="s">
        <v>17</v>
      </c>
      <c r="D42" s="4" t="s">
        <v>7</v>
      </c>
      <c r="E42" s="22">
        <v>41</v>
      </c>
      <c r="F42" s="22">
        <v>81</v>
      </c>
      <c r="G42" s="17">
        <v>3.64</v>
      </c>
      <c r="H42" s="13">
        <f t="shared" si="1"/>
        <v>1.975609756097561</v>
      </c>
      <c r="I42" s="17">
        <v>0.19</v>
      </c>
      <c r="J42" s="13">
        <f t="shared" si="3"/>
        <v>4.8185603807257588E-2</v>
      </c>
    </row>
    <row r="43" spans="1:10" x14ac:dyDescent="0.2">
      <c r="A43" s="4">
        <v>2016</v>
      </c>
      <c r="B43" s="4" t="s">
        <v>6</v>
      </c>
      <c r="C43" s="4" t="s">
        <v>17</v>
      </c>
      <c r="D43" s="4" t="s">
        <v>7</v>
      </c>
      <c r="E43" s="22">
        <v>48</v>
      </c>
      <c r="F43" s="22">
        <v>76</v>
      </c>
      <c r="G43" s="17">
        <v>4.25</v>
      </c>
      <c r="H43" s="13">
        <f t="shared" si="1"/>
        <v>1.5833333333333333</v>
      </c>
      <c r="I43" s="17">
        <v>0.14000000000000001</v>
      </c>
      <c r="J43" s="13">
        <f t="shared" si="3"/>
        <v>3.2986111111111112E-2</v>
      </c>
    </row>
    <row r="44" spans="1:10" x14ac:dyDescent="0.2">
      <c r="A44" s="4">
        <v>2016</v>
      </c>
      <c r="B44" s="4" t="s">
        <v>6</v>
      </c>
      <c r="C44" s="4" t="s">
        <v>17</v>
      </c>
      <c r="D44" s="4" t="s">
        <v>7</v>
      </c>
      <c r="E44" s="22">
        <v>39</v>
      </c>
      <c r="F44" s="22">
        <v>66</v>
      </c>
      <c r="G44" s="17">
        <v>3</v>
      </c>
      <c r="H44" s="13">
        <f t="shared" si="1"/>
        <v>1.6923076923076923</v>
      </c>
      <c r="I44" s="17">
        <v>0.18</v>
      </c>
      <c r="J44" s="13">
        <f t="shared" si="3"/>
        <v>4.3392504930966469E-2</v>
      </c>
    </row>
    <row r="45" spans="1:10" x14ac:dyDescent="0.2">
      <c r="A45" s="4">
        <v>2016</v>
      </c>
      <c r="B45" s="4" t="s">
        <v>6</v>
      </c>
      <c r="C45" s="4" t="s">
        <v>17</v>
      </c>
      <c r="D45" s="4" t="s">
        <v>7</v>
      </c>
      <c r="E45" s="22">
        <v>30</v>
      </c>
      <c r="F45" s="22">
        <v>41</v>
      </c>
      <c r="G45" s="17">
        <v>2.99</v>
      </c>
      <c r="H45" s="13">
        <f t="shared" si="1"/>
        <v>1.3666666666666667</v>
      </c>
      <c r="I45" s="17">
        <v>0.19</v>
      </c>
      <c r="J45" s="13">
        <f t="shared" si="3"/>
        <v>4.5555555555555557E-2</v>
      </c>
    </row>
    <row r="46" spans="1:10" x14ac:dyDescent="0.2">
      <c r="A46" s="4">
        <v>2016</v>
      </c>
      <c r="B46" s="4" t="s">
        <v>6</v>
      </c>
      <c r="C46" s="4" t="s">
        <v>17</v>
      </c>
      <c r="D46" s="4" t="s">
        <v>7</v>
      </c>
      <c r="E46" s="22">
        <v>35</v>
      </c>
      <c r="F46" s="22">
        <v>58</v>
      </c>
      <c r="G46" s="17">
        <v>3.53</v>
      </c>
      <c r="H46" s="13">
        <f t="shared" si="1"/>
        <v>1.6571428571428573</v>
      </c>
      <c r="I46" s="17">
        <v>0.19</v>
      </c>
      <c r="J46" s="13">
        <f t="shared" si="3"/>
        <v>4.7346938775510203E-2</v>
      </c>
    </row>
    <row r="47" spans="1:10" x14ac:dyDescent="0.2">
      <c r="A47" s="4">
        <v>2016</v>
      </c>
      <c r="B47" s="4" t="s">
        <v>6</v>
      </c>
      <c r="C47" s="4" t="s">
        <v>18</v>
      </c>
      <c r="D47" s="4" t="s">
        <v>7</v>
      </c>
      <c r="E47" s="22">
        <v>29</v>
      </c>
      <c r="F47" s="22">
        <v>37</v>
      </c>
      <c r="G47" s="17">
        <v>3.34</v>
      </c>
      <c r="H47" s="13">
        <f t="shared" si="1"/>
        <v>1.2758620689655173</v>
      </c>
      <c r="I47" s="17">
        <v>0.18</v>
      </c>
      <c r="J47" s="13">
        <f t="shared" si="3"/>
        <v>4.3995243757431628E-2</v>
      </c>
    </row>
    <row r="48" spans="1:10" x14ac:dyDescent="0.2">
      <c r="A48" s="4">
        <v>2016</v>
      </c>
      <c r="B48" s="4" t="s">
        <v>6</v>
      </c>
      <c r="C48" s="4" t="s">
        <v>17</v>
      </c>
      <c r="D48" s="4" t="s">
        <v>7</v>
      </c>
      <c r="E48" s="22">
        <v>21</v>
      </c>
      <c r="F48" s="22">
        <v>21</v>
      </c>
      <c r="G48" s="17">
        <v>2.0499999999999998</v>
      </c>
      <c r="H48" s="13">
        <f t="shared" si="1"/>
        <v>1</v>
      </c>
      <c r="I48" s="17">
        <v>0.19</v>
      </c>
      <c r="J48" s="13">
        <f t="shared" si="3"/>
        <v>4.7619047619047616E-2</v>
      </c>
    </row>
    <row r="49" spans="1:11" x14ac:dyDescent="0.2">
      <c r="A49" s="4">
        <v>2016</v>
      </c>
      <c r="B49" s="4" t="s">
        <v>6</v>
      </c>
      <c r="C49" s="4" t="s">
        <v>17</v>
      </c>
      <c r="D49" s="4" t="s">
        <v>7</v>
      </c>
      <c r="E49" s="25">
        <v>12</v>
      </c>
      <c r="F49" s="25">
        <v>9</v>
      </c>
      <c r="G49" s="18">
        <v>1.08</v>
      </c>
      <c r="H49" s="13">
        <f t="shared" si="1"/>
        <v>0.75</v>
      </c>
      <c r="I49" s="18">
        <v>0.26</v>
      </c>
      <c r="J49" s="13">
        <f t="shared" si="3"/>
        <v>6.25E-2</v>
      </c>
    </row>
    <row r="50" spans="1:11" x14ac:dyDescent="0.2">
      <c r="A50" s="4">
        <v>2016</v>
      </c>
      <c r="B50" s="4" t="s">
        <v>6</v>
      </c>
      <c r="C50" s="4" t="s">
        <v>17</v>
      </c>
      <c r="D50" s="4" t="s">
        <v>7</v>
      </c>
      <c r="E50" s="25">
        <v>28</v>
      </c>
      <c r="F50" s="25">
        <v>34</v>
      </c>
      <c r="G50" s="18">
        <v>2.64</v>
      </c>
      <c r="H50" s="13">
        <f t="shared" si="1"/>
        <v>1.2142857142857142</v>
      </c>
      <c r="I50" s="18">
        <v>0.18</v>
      </c>
      <c r="J50" s="13">
        <f t="shared" si="3"/>
        <v>4.336734693877551E-2</v>
      </c>
    </row>
    <row r="51" spans="1:11" x14ac:dyDescent="0.2">
      <c r="A51" s="4">
        <v>1996</v>
      </c>
      <c r="B51" s="4" t="s">
        <v>14</v>
      </c>
      <c r="C51" s="4" t="s">
        <v>19</v>
      </c>
      <c r="D51" s="5" t="s">
        <v>7</v>
      </c>
      <c r="E51" s="25">
        <v>96</v>
      </c>
      <c r="F51" s="25">
        <v>589</v>
      </c>
      <c r="G51" s="18">
        <v>6.14</v>
      </c>
      <c r="H51" s="13">
        <f t="shared" si="1"/>
        <v>6.135416666666667</v>
      </c>
      <c r="I51" s="18">
        <v>0.14000000000000001</v>
      </c>
      <c r="J51" s="13">
        <f t="shared" si="3"/>
        <v>6.3910590277777776E-2</v>
      </c>
    </row>
    <row r="52" spans="1:11" x14ac:dyDescent="0.2">
      <c r="A52" s="4">
        <v>1997</v>
      </c>
      <c r="B52" s="4" t="s">
        <v>14</v>
      </c>
      <c r="C52" s="4" t="s">
        <v>19</v>
      </c>
      <c r="D52" s="5" t="s">
        <v>7</v>
      </c>
      <c r="E52" s="25">
        <v>70</v>
      </c>
      <c r="F52" s="25">
        <v>374</v>
      </c>
      <c r="G52" s="18">
        <v>5.34</v>
      </c>
      <c r="H52" s="13">
        <f t="shared" si="1"/>
        <v>5.3428571428571425</v>
      </c>
      <c r="I52" s="18">
        <v>0.16</v>
      </c>
      <c r="J52" s="13">
        <f t="shared" si="3"/>
        <v>7.6326530612244897E-2</v>
      </c>
    </row>
    <row r="53" spans="1:11" x14ac:dyDescent="0.2">
      <c r="A53" s="4">
        <v>1998</v>
      </c>
      <c r="B53" s="4" t="s">
        <v>14</v>
      </c>
      <c r="C53" s="4" t="s">
        <v>20</v>
      </c>
      <c r="D53" s="5" t="s">
        <v>7</v>
      </c>
      <c r="E53" s="23">
        <v>107</v>
      </c>
      <c r="F53" s="23">
        <v>967</v>
      </c>
      <c r="G53" s="15">
        <v>9.0399999999999991</v>
      </c>
      <c r="H53" s="13">
        <f t="shared" si="1"/>
        <v>9.0373831775700939</v>
      </c>
      <c r="I53" s="15">
        <v>0.19</v>
      </c>
      <c r="J53" s="13">
        <f t="shared" si="3"/>
        <v>8.446152502401956E-2</v>
      </c>
      <c r="K53" s="7"/>
    </row>
    <row r="54" spans="1:11" x14ac:dyDescent="0.2">
      <c r="A54" s="4">
        <v>1998</v>
      </c>
      <c r="B54" s="4" t="s">
        <v>14</v>
      </c>
      <c r="C54" s="4" t="s">
        <v>20</v>
      </c>
      <c r="D54" s="5" t="s">
        <v>7</v>
      </c>
      <c r="E54" s="23">
        <v>72</v>
      </c>
      <c r="F54" s="23">
        <v>524</v>
      </c>
      <c r="G54" s="15">
        <v>7.28</v>
      </c>
      <c r="H54" s="13">
        <f t="shared" si="1"/>
        <v>7.2777777777777777</v>
      </c>
      <c r="I54" s="15">
        <v>0.18</v>
      </c>
      <c r="J54" s="13">
        <f t="shared" si="3"/>
        <v>0.10108024691358025</v>
      </c>
    </row>
    <row r="55" spans="1:11" x14ac:dyDescent="0.2">
      <c r="A55" s="4">
        <v>2004</v>
      </c>
      <c r="B55" s="4" t="s">
        <v>6</v>
      </c>
      <c r="C55" s="4" t="s">
        <v>19</v>
      </c>
      <c r="D55" s="5" t="s">
        <v>9</v>
      </c>
      <c r="E55" s="23">
        <v>28</v>
      </c>
      <c r="F55" s="23">
        <v>156</v>
      </c>
      <c r="G55" s="15">
        <v>5.57</v>
      </c>
      <c r="H55" s="13">
        <f t="shared" si="1"/>
        <v>5.5714285714285712</v>
      </c>
      <c r="I55" s="15">
        <v>0.2</v>
      </c>
      <c r="J55" s="13">
        <f t="shared" si="3"/>
        <v>0.19897959183673469</v>
      </c>
    </row>
    <row r="56" spans="1:11" x14ac:dyDescent="0.2">
      <c r="A56" s="4">
        <v>2017</v>
      </c>
      <c r="B56" s="4" t="s">
        <v>14</v>
      </c>
      <c r="C56" s="7" t="s">
        <v>19</v>
      </c>
      <c r="D56" s="5" t="s">
        <v>9</v>
      </c>
      <c r="E56" s="23">
        <v>41</v>
      </c>
      <c r="F56" s="23">
        <v>170</v>
      </c>
      <c r="G56" s="15">
        <f>F56/E56</f>
        <v>4.1463414634146343</v>
      </c>
      <c r="H56" s="13">
        <f t="shared" si="1"/>
        <v>4.1463414634146343</v>
      </c>
      <c r="I56" s="15">
        <f>F56/(E56*E56)</f>
        <v>0.10113027959547888</v>
      </c>
      <c r="J56" s="13">
        <f t="shared" si="3"/>
        <v>0.10113027959547888</v>
      </c>
    </row>
    <row r="57" spans="1:11" x14ac:dyDescent="0.2">
      <c r="A57" s="4">
        <v>2005</v>
      </c>
      <c r="B57" s="4" t="s">
        <v>6</v>
      </c>
      <c r="C57" s="4" t="s">
        <v>18</v>
      </c>
      <c r="D57" s="5" t="s">
        <v>9</v>
      </c>
      <c r="E57" s="23">
        <v>117</v>
      </c>
      <c r="F57" s="23">
        <v>345</v>
      </c>
      <c r="G57" s="15">
        <v>3</v>
      </c>
      <c r="H57" s="13">
        <f t="shared" si="1"/>
        <v>2.9487179487179489</v>
      </c>
      <c r="I57" s="15">
        <v>0.05</v>
      </c>
      <c r="J57" s="13">
        <f t="shared" si="3"/>
        <v>2.5202717510409818E-2</v>
      </c>
    </row>
    <row r="58" spans="1:11" x14ac:dyDescent="0.2">
      <c r="A58" s="4">
        <v>2013</v>
      </c>
      <c r="B58" s="4" t="s">
        <v>14</v>
      </c>
      <c r="C58" s="4" t="s">
        <v>17</v>
      </c>
      <c r="D58" s="5" t="s">
        <v>7</v>
      </c>
      <c r="E58" s="23">
        <v>15</v>
      </c>
      <c r="F58" s="23">
        <v>18</v>
      </c>
      <c r="G58" s="15">
        <v>1.2</v>
      </c>
      <c r="H58" s="13">
        <f t="shared" si="1"/>
        <v>1.2</v>
      </c>
      <c r="I58" s="15">
        <v>0.4</v>
      </c>
      <c r="J58" s="13">
        <f t="shared" si="3"/>
        <v>0.08</v>
      </c>
    </row>
    <row r="59" spans="1:11" x14ac:dyDescent="0.2">
      <c r="A59" s="4">
        <v>2013</v>
      </c>
      <c r="B59" s="4" t="s">
        <v>14</v>
      </c>
      <c r="C59" s="4" t="s">
        <v>17</v>
      </c>
      <c r="D59" s="5" t="s">
        <v>7</v>
      </c>
      <c r="E59" s="23">
        <v>10</v>
      </c>
      <c r="F59" s="23">
        <v>13</v>
      </c>
      <c r="G59" s="15">
        <v>1.3</v>
      </c>
      <c r="H59" s="13">
        <f t="shared" si="1"/>
        <v>1.3</v>
      </c>
      <c r="I59" s="15">
        <v>0.43</v>
      </c>
      <c r="J59" s="13">
        <f t="shared" si="3"/>
        <v>0.13</v>
      </c>
    </row>
    <row r="60" spans="1:11" x14ac:dyDescent="0.2">
      <c r="A60" s="4">
        <v>2013</v>
      </c>
      <c r="B60" s="4" t="s">
        <v>14</v>
      </c>
      <c r="C60" s="4" t="s">
        <v>17</v>
      </c>
      <c r="D60" s="5" t="s">
        <v>7</v>
      </c>
      <c r="E60" s="23">
        <v>21</v>
      </c>
      <c r="F60" s="23">
        <v>40</v>
      </c>
      <c r="G60" s="15">
        <v>1.9</v>
      </c>
      <c r="H60" s="13">
        <f t="shared" si="1"/>
        <v>1.9047619047619047</v>
      </c>
      <c r="I60" s="15">
        <v>0.24</v>
      </c>
      <c r="J60" s="13">
        <f t="shared" si="3"/>
        <v>9.0702947845804988E-2</v>
      </c>
    </row>
    <row r="61" spans="1:11" x14ac:dyDescent="0.2">
      <c r="A61" s="4">
        <v>2013</v>
      </c>
      <c r="B61" s="4" t="s">
        <v>14</v>
      </c>
      <c r="C61" s="4" t="s">
        <v>17</v>
      </c>
      <c r="D61" s="5" t="s">
        <v>7</v>
      </c>
      <c r="E61" s="23">
        <v>63</v>
      </c>
      <c r="F61" s="23">
        <v>156</v>
      </c>
      <c r="G61" s="15">
        <v>2.48</v>
      </c>
      <c r="H61" s="13">
        <f t="shared" si="1"/>
        <v>2.4761904761904763</v>
      </c>
      <c r="I61" s="15">
        <v>0.06</v>
      </c>
      <c r="J61" s="13">
        <f t="shared" si="3"/>
        <v>3.9304610733182165E-2</v>
      </c>
    </row>
    <row r="62" spans="1:11" x14ac:dyDescent="0.2">
      <c r="A62" s="4">
        <v>2013</v>
      </c>
      <c r="B62" s="4" t="s">
        <v>14</v>
      </c>
      <c r="C62" s="4" t="s">
        <v>17</v>
      </c>
      <c r="D62" s="5" t="s">
        <v>7</v>
      </c>
      <c r="E62" s="23">
        <v>43</v>
      </c>
      <c r="F62" s="23">
        <v>88</v>
      </c>
      <c r="G62" s="15">
        <v>2.0499999999999998</v>
      </c>
      <c r="H62" s="13">
        <f t="shared" si="1"/>
        <v>2.0465116279069768</v>
      </c>
      <c r="I62" s="15">
        <v>0.08</v>
      </c>
      <c r="J62" s="13">
        <f t="shared" si="3"/>
        <v>4.7593293672255274E-2</v>
      </c>
    </row>
    <row r="63" spans="1:11" x14ac:dyDescent="0.2">
      <c r="A63" s="4">
        <v>2013</v>
      </c>
      <c r="B63" s="4" t="s">
        <v>14</v>
      </c>
      <c r="C63" s="4" t="s">
        <v>17</v>
      </c>
      <c r="D63" s="5" t="s">
        <v>7</v>
      </c>
      <c r="E63" s="23">
        <v>38</v>
      </c>
      <c r="F63" s="23">
        <v>109</v>
      </c>
      <c r="G63" s="15">
        <v>2.87</v>
      </c>
      <c r="H63" s="13">
        <f t="shared" si="1"/>
        <v>2.8684210526315788</v>
      </c>
      <c r="I63" s="15">
        <v>0.13</v>
      </c>
      <c r="J63" s="13">
        <f t="shared" si="3"/>
        <v>7.5484764542936289E-2</v>
      </c>
    </row>
    <row r="64" spans="1:11" x14ac:dyDescent="0.2">
      <c r="A64" s="4">
        <v>2013</v>
      </c>
      <c r="B64" s="4" t="s">
        <v>14</v>
      </c>
      <c r="C64" s="4" t="s">
        <v>17</v>
      </c>
      <c r="D64" s="5" t="s">
        <v>7</v>
      </c>
      <c r="E64" s="23">
        <v>38</v>
      </c>
      <c r="F64" s="23">
        <v>81</v>
      </c>
      <c r="G64" s="15">
        <v>2.13</v>
      </c>
      <c r="H64" s="13">
        <f t="shared" si="1"/>
        <v>2.1315789473684212</v>
      </c>
      <c r="I64" s="15">
        <v>0.11</v>
      </c>
      <c r="J64" s="13">
        <f t="shared" si="3"/>
        <v>5.6094182825484763E-2</v>
      </c>
    </row>
    <row r="65" spans="1:10" x14ac:dyDescent="0.2">
      <c r="A65" s="4">
        <v>2013</v>
      </c>
      <c r="B65" s="4" t="s">
        <v>14</v>
      </c>
      <c r="C65" s="4" t="s">
        <v>17</v>
      </c>
      <c r="D65" s="5" t="s">
        <v>7</v>
      </c>
      <c r="E65" s="23">
        <v>47</v>
      </c>
      <c r="F65" s="23">
        <v>124</v>
      </c>
      <c r="G65" s="15">
        <v>2.64</v>
      </c>
      <c r="H65" s="13">
        <f t="shared" ref="H65:H96" si="4">F65/E65</f>
        <v>2.6382978723404253</v>
      </c>
      <c r="I65" s="15">
        <v>0.09</v>
      </c>
      <c r="J65" s="13">
        <f t="shared" si="3"/>
        <v>5.6133997283838839E-2</v>
      </c>
    </row>
    <row r="66" spans="1:10" x14ac:dyDescent="0.2">
      <c r="A66" s="4">
        <v>2013</v>
      </c>
      <c r="B66" s="4" t="s">
        <v>14</v>
      </c>
      <c r="C66" s="4" t="s">
        <v>17</v>
      </c>
      <c r="D66" s="5" t="s">
        <v>7</v>
      </c>
      <c r="E66" s="23">
        <v>48</v>
      </c>
      <c r="F66" s="23">
        <v>163</v>
      </c>
      <c r="G66" s="15">
        <v>3.4</v>
      </c>
      <c r="H66" s="13">
        <f t="shared" si="4"/>
        <v>3.3958333333333335</v>
      </c>
      <c r="I66" s="15">
        <v>0.12</v>
      </c>
      <c r="J66" s="13">
        <f t="shared" ref="J66:J97" si="5">F66/(E66^2)</f>
        <v>7.0746527777777776E-2</v>
      </c>
    </row>
    <row r="67" spans="1:10" x14ac:dyDescent="0.2">
      <c r="A67" s="4">
        <v>2013</v>
      </c>
      <c r="B67" s="4" t="s">
        <v>14</v>
      </c>
      <c r="C67" s="4" t="s">
        <v>17</v>
      </c>
      <c r="D67" s="5" t="s">
        <v>7</v>
      </c>
      <c r="E67" s="23">
        <v>50</v>
      </c>
      <c r="F67" s="23">
        <v>230</v>
      </c>
      <c r="G67" s="15">
        <v>4.5999999999999996</v>
      </c>
      <c r="H67" s="13">
        <f t="shared" si="4"/>
        <v>4.5999999999999996</v>
      </c>
      <c r="I67" s="15">
        <v>0.16</v>
      </c>
      <c r="J67" s="13">
        <f t="shared" si="5"/>
        <v>9.1999999999999998E-2</v>
      </c>
    </row>
    <row r="68" spans="1:10" x14ac:dyDescent="0.2">
      <c r="A68" s="4">
        <v>2013</v>
      </c>
      <c r="B68" s="4" t="s">
        <v>14</v>
      </c>
      <c r="C68" s="4" t="s">
        <v>17</v>
      </c>
      <c r="D68" s="5" t="s">
        <v>7</v>
      </c>
      <c r="E68" s="23">
        <v>55</v>
      </c>
      <c r="F68" s="23">
        <v>193</v>
      </c>
      <c r="G68" s="15">
        <v>3.51</v>
      </c>
      <c r="H68" s="13">
        <f t="shared" si="4"/>
        <v>3.5090909090909093</v>
      </c>
      <c r="I68" s="15">
        <v>0.11</v>
      </c>
      <c r="J68" s="13">
        <f t="shared" si="5"/>
        <v>6.3801652892561983E-2</v>
      </c>
    </row>
    <row r="69" spans="1:10" x14ac:dyDescent="0.2">
      <c r="A69" s="4">
        <v>2013</v>
      </c>
      <c r="B69" s="4" t="s">
        <v>14</v>
      </c>
      <c r="C69" s="4" t="s">
        <v>17</v>
      </c>
      <c r="D69" s="5" t="s">
        <v>7</v>
      </c>
      <c r="E69" s="23">
        <v>63</v>
      </c>
      <c r="F69" s="23">
        <v>271</v>
      </c>
      <c r="G69" s="15">
        <v>4.3</v>
      </c>
      <c r="H69" s="13">
        <f t="shared" si="4"/>
        <v>4.3015873015873014</v>
      </c>
      <c r="I69" s="15">
        <v>0.11</v>
      </c>
      <c r="J69" s="13">
        <f t="shared" si="5"/>
        <v>6.8279163517258754E-2</v>
      </c>
    </row>
    <row r="70" spans="1:10" x14ac:dyDescent="0.2">
      <c r="A70" s="4">
        <v>2013</v>
      </c>
      <c r="B70" s="4" t="s">
        <v>14</v>
      </c>
      <c r="C70" s="4" t="s">
        <v>17</v>
      </c>
      <c r="D70" s="5" t="s">
        <v>7</v>
      </c>
      <c r="E70" s="23">
        <v>44</v>
      </c>
      <c r="F70" s="23">
        <v>219</v>
      </c>
      <c r="G70" s="15">
        <v>4.9800000000000004</v>
      </c>
      <c r="H70" s="13">
        <f t="shared" si="4"/>
        <v>4.9772727272727275</v>
      </c>
      <c r="I70" s="15">
        <v>0.24</v>
      </c>
      <c r="J70" s="13">
        <f t="shared" si="5"/>
        <v>0.1131198347107438</v>
      </c>
    </row>
    <row r="71" spans="1:10" x14ac:dyDescent="0.2">
      <c r="A71" s="4">
        <v>2013</v>
      </c>
      <c r="B71" s="4" t="s">
        <v>14</v>
      </c>
      <c r="C71" s="4" t="s">
        <v>17</v>
      </c>
      <c r="D71" s="5" t="s">
        <v>7</v>
      </c>
      <c r="E71" s="23">
        <v>50</v>
      </c>
      <c r="F71" s="23">
        <v>148</v>
      </c>
      <c r="G71" s="15">
        <v>2.96</v>
      </c>
      <c r="H71" s="13">
        <f t="shared" si="4"/>
        <v>2.96</v>
      </c>
      <c r="I71" s="15">
        <v>0.1</v>
      </c>
      <c r="J71" s="13">
        <f t="shared" si="5"/>
        <v>5.9200000000000003E-2</v>
      </c>
    </row>
    <row r="72" spans="1:10" x14ac:dyDescent="0.2">
      <c r="A72" s="4">
        <v>2013</v>
      </c>
      <c r="B72" s="4" t="s">
        <v>14</v>
      </c>
      <c r="C72" s="4" t="s">
        <v>17</v>
      </c>
      <c r="D72" s="5" t="s">
        <v>7</v>
      </c>
      <c r="E72" s="23">
        <v>39</v>
      </c>
      <c r="F72" s="23">
        <v>165</v>
      </c>
      <c r="G72" s="15">
        <v>4.2300000000000004</v>
      </c>
      <c r="H72" s="13">
        <f t="shared" si="4"/>
        <v>4.2307692307692308</v>
      </c>
      <c r="I72" s="15">
        <v>0.24</v>
      </c>
      <c r="J72" s="13">
        <f t="shared" si="5"/>
        <v>0.10848126232741617</v>
      </c>
    </row>
    <row r="73" spans="1:10" x14ac:dyDescent="0.2">
      <c r="A73" s="4">
        <v>2013</v>
      </c>
      <c r="B73" s="4" t="s">
        <v>14</v>
      </c>
      <c r="C73" s="4" t="s">
        <v>17</v>
      </c>
      <c r="D73" s="5" t="s">
        <v>7</v>
      </c>
      <c r="E73" s="23">
        <v>63</v>
      </c>
      <c r="F73" s="23">
        <v>134</v>
      </c>
      <c r="G73" s="15">
        <v>2.13</v>
      </c>
      <c r="H73" s="13">
        <f t="shared" si="4"/>
        <v>2.126984126984127</v>
      </c>
      <c r="I73" s="15">
        <v>0.05</v>
      </c>
      <c r="J73" s="13">
        <f t="shared" si="5"/>
        <v>3.3761652809271854E-2</v>
      </c>
    </row>
    <row r="74" spans="1:10" x14ac:dyDescent="0.2">
      <c r="A74" s="4">
        <v>2013</v>
      </c>
      <c r="B74" s="4" t="s">
        <v>14</v>
      </c>
      <c r="C74" s="4" t="s">
        <v>17</v>
      </c>
      <c r="D74" s="5" t="s">
        <v>7</v>
      </c>
      <c r="E74" s="23">
        <v>45</v>
      </c>
      <c r="F74" s="23">
        <v>152</v>
      </c>
      <c r="G74" s="15">
        <v>3.38</v>
      </c>
      <c r="H74" s="13">
        <f t="shared" si="4"/>
        <v>3.3777777777777778</v>
      </c>
      <c r="I74" s="15">
        <v>0.15</v>
      </c>
      <c r="J74" s="13">
        <f t="shared" si="5"/>
        <v>7.5061728395061728E-2</v>
      </c>
    </row>
    <row r="75" spans="1:10" x14ac:dyDescent="0.2">
      <c r="A75" s="4">
        <v>2013</v>
      </c>
      <c r="B75" s="4" t="s">
        <v>14</v>
      </c>
      <c r="C75" s="4" t="s">
        <v>17</v>
      </c>
      <c r="D75" s="5" t="s">
        <v>7</v>
      </c>
      <c r="E75" s="23">
        <v>59</v>
      </c>
      <c r="F75" s="23">
        <v>183</v>
      </c>
      <c r="G75" s="15">
        <v>3.1</v>
      </c>
      <c r="H75" s="13">
        <f t="shared" si="4"/>
        <v>3.1016949152542375</v>
      </c>
      <c r="I75" s="15">
        <v>0.08</v>
      </c>
      <c r="J75" s="13">
        <f t="shared" si="5"/>
        <v>5.2571100258546395E-2</v>
      </c>
    </row>
    <row r="76" spans="1:10" x14ac:dyDescent="0.2">
      <c r="A76" s="4">
        <v>2013</v>
      </c>
      <c r="B76" s="4" t="s">
        <v>14</v>
      </c>
      <c r="C76" s="4" t="s">
        <v>17</v>
      </c>
      <c r="D76" s="5" t="s">
        <v>7</v>
      </c>
      <c r="E76" s="23">
        <v>52</v>
      </c>
      <c r="F76" s="23">
        <v>184</v>
      </c>
      <c r="G76" s="15">
        <v>3.54</v>
      </c>
      <c r="H76" s="13">
        <f t="shared" si="4"/>
        <v>3.5384615384615383</v>
      </c>
      <c r="I76" s="15">
        <v>0.12</v>
      </c>
      <c r="J76" s="13">
        <f t="shared" si="5"/>
        <v>6.8047337278106509E-2</v>
      </c>
    </row>
    <row r="77" spans="1:10" x14ac:dyDescent="0.2">
      <c r="A77" s="4">
        <v>2016</v>
      </c>
      <c r="B77" s="4" t="s">
        <v>14</v>
      </c>
      <c r="D77" s="5" t="s">
        <v>7</v>
      </c>
      <c r="E77" s="25">
        <v>29</v>
      </c>
      <c r="F77" s="25">
        <v>120</v>
      </c>
      <c r="G77" s="18">
        <v>4.03</v>
      </c>
      <c r="H77" s="13">
        <f t="shared" si="4"/>
        <v>4.1379310344827589</v>
      </c>
      <c r="I77" s="18">
        <v>0.14000000000000001</v>
      </c>
      <c r="J77" s="13">
        <f t="shared" si="5"/>
        <v>0.1426872770511296</v>
      </c>
    </row>
    <row r="78" spans="1:10" x14ac:dyDescent="0.2">
      <c r="A78" s="4">
        <v>2017</v>
      </c>
      <c r="B78" s="4" t="s">
        <v>14</v>
      </c>
      <c r="D78" s="5" t="s">
        <v>7</v>
      </c>
      <c r="E78" s="25">
        <v>35</v>
      </c>
      <c r="F78" s="21">
        <v>130</v>
      </c>
      <c r="G78" s="17">
        <v>3.71</v>
      </c>
      <c r="H78" s="13">
        <f t="shared" si="4"/>
        <v>3.7142857142857144</v>
      </c>
      <c r="I78" s="14">
        <v>0.11</v>
      </c>
      <c r="J78" s="13">
        <f t="shared" si="5"/>
        <v>0.10612244897959183</v>
      </c>
    </row>
    <row r="79" spans="1:10" x14ac:dyDescent="0.2">
      <c r="A79" s="4">
        <v>2018</v>
      </c>
      <c r="B79" s="4" t="s">
        <v>14</v>
      </c>
      <c r="D79" s="5" t="s">
        <v>7</v>
      </c>
      <c r="E79" s="25">
        <v>36</v>
      </c>
      <c r="F79" s="23">
        <v>130</v>
      </c>
      <c r="G79" s="17">
        <v>3.61</v>
      </c>
      <c r="H79" s="13">
        <f t="shared" si="4"/>
        <v>3.6111111111111112</v>
      </c>
      <c r="I79" s="15">
        <v>0.1</v>
      </c>
      <c r="J79" s="13">
        <f t="shared" si="5"/>
        <v>0.10030864197530864</v>
      </c>
    </row>
    <row r="80" spans="1:10" x14ac:dyDescent="0.2">
      <c r="A80" s="4">
        <v>2019</v>
      </c>
      <c r="B80" s="4" t="s">
        <v>14</v>
      </c>
      <c r="D80" s="5" t="s">
        <v>7</v>
      </c>
      <c r="E80" s="25">
        <v>33</v>
      </c>
      <c r="F80" s="23">
        <v>143</v>
      </c>
      <c r="G80" s="17">
        <v>4.33</v>
      </c>
      <c r="H80" s="13">
        <f t="shared" si="4"/>
        <v>4.333333333333333</v>
      </c>
      <c r="I80" s="15">
        <v>0.13</v>
      </c>
      <c r="J80" s="13">
        <f t="shared" si="5"/>
        <v>0.13131313131313133</v>
      </c>
    </row>
    <row r="81" spans="1:10" x14ac:dyDescent="0.2">
      <c r="A81" s="4">
        <v>2006</v>
      </c>
      <c r="B81" s="4" t="s">
        <v>14</v>
      </c>
      <c r="C81" s="4" t="s">
        <v>17</v>
      </c>
      <c r="D81" s="5" t="s">
        <v>7</v>
      </c>
      <c r="E81" s="25">
        <v>31</v>
      </c>
      <c r="F81" s="25">
        <f t="shared" ref="F81:F98" si="6">E81*G81</f>
        <v>128.03</v>
      </c>
      <c r="G81" s="18">
        <v>4.13</v>
      </c>
      <c r="H81" s="13">
        <f t="shared" si="4"/>
        <v>4.13</v>
      </c>
      <c r="I81" s="18">
        <v>0.13</v>
      </c>
      <c r="J81" s="13">
        <f t="shared" si="5"/>
        <v>0.13322580645161292</v>
      </c>
    </row>
    <row r="82" spans="1:10" x14ac:dyDescent="0.2">
      <c r="A82" s="4">
        <v>2006</v>
      </c>
      <c r="B82" s="4" t="s">
        <v>14</v>
      </c>
      <c r="C82" s="4" t="s">
        <v>18</v>
      </c>
      <c r="D82" s="5" t="s">
        <v>7</v>
      </c>
      <c r="E82" s="25">
        <v>32</v>
      </c>
      <c r="F82" s="25">
        <f t="shared" si="6"/>
        <v>118.08</v>
      </c>
      <c r="G82" s="18">
        <v>3.69</v>
      </c>
      <c r="H82" s="13">
        <f t="shared" si="4"/>
        <v>3.69</v>
      </c>
      <c r="I82" s="18">
        <v>0.12</v>
      </c>
      <c r="J82" s="13">
        <f t="shared" si="5"/>
        <v>0.1153125</v>
      </c>
    </row>
    <row r="83" spans="1:10" x14ac:dyDescent="0.2">
      <c r="A83" s="4">
        <v>2006</v>
      </c>
      <c r="B83" s="4" t="s">
        <v>14</v>
      </c>
      <c r="C83" s="4" t="s">
        <v>18</v>
      </c>
      <c r="D83" s="5" t="s">
        <v>7</v>
      </c>
      <c r="E83" s="25">
        <v>40</v>
      </c>
      <c r="F83" s="25">
        <f t="shared" si="6"/>
        <v>192</v>
      </c>
      <c r="G83" s="18">
        <v>4.8</v>
      </c>
      <c r="H83" s="13">
        <f t="shared" si="4"/>
        <v>4.8</v>
      </c>
      <c r="I83" s="18">
        <v>0.12</v>
      </c>
      <c r="J83" s="13">
        <f t="shared" si="5"/>
        <v>0.12</v>
      </c>
    </row>
    <row r="84" spans="1:10" x14ac:dyDescent="0.2">
      <c r="A84" s="4">
        <v>2006</v>
      </c>
      <c r="B84" s="4" t="s">
        <v>14</v>
      </c>
      <c r="C84" s="4" t="s">
        <v>18</v>
      </c>
      <c r="D84" s="5" t="s">
        <v>7</v>
      </c>
      <c r="E84" s="25">
        <v>46</v>
      </c>
      <c r="F84" s="25">
        <f t="shared" si="6"/>
        <v>253.92</v>
      </c>
      <c r="G84" s="18">
        <v>5.52</v>
      </c>
      <c r="H84" s="13">
        <f t="shared" si="4"/>
        <v>5.52</v>
      </c>
      <c r="I84" s="18">
        <v>0.12</v>
      </c>
      <c r="J84" s="13">
        <f t="shared" si="5"/>
        <v>0.12</v>
      </c>
    </row>
    <row r="85" spans="1:10" x14ac:dyDescent="0.2">
      <c r="A85" s="4">
        <v>2006</v>
      </c>
      <c r="B85" s="4" t="s">
        <v>14</v>
      </c>
      <c r="C85" s="4" t="s">
        <v>17</v>
      </c>
      <c r="D85" s="5" t="s">
        <v>7</v>
      </c>
      <c r="E85" s="25">
        <v>36</v>
      </c>
      <c r="F85" s="25">
        <f t="shared" si="6"/>
        <v>160.91999999999999</v>
      </c>
      <c r="G85" s="18">
        <v>4.47</v>
      </c>
      <c r="H85" s="13">
        <f t="shared" si="4"/>
        <v>4.47</v>
      </c>
      <c r="I85" s="18">
        <v>0.12</v>
      </c>
      <c r="J85" s="13">
        <f t="shared" si="5"/>
        <v>0.12416666666666666</v>
      </c>
    </row>
    <row r="86" spans="1:10" x14ac:dyDescent="0.2">
      <c r="A86" s="4">
        <v>2006</v>
      </c>
      <c r="B86" s="4" t="s">
        <v>14</v>
      </c>
      <c r="C86" s="4" t="s">
        <v>18</v>
      </c>
      <c r="D86" s="5" t="s">
        <v>7</v>
      </c>
      <c r="E86" s="25">
        <v>39</v>
      </c>
      <c r="F86" s="25">
        <f t="shared" si="6"/>
        <v>152.1</v>
      </c>
      <c r="G86" s="18">
        <v>3.9</v>
      </c>
      <c r="H86" s="13">
        <f t="shared" si="4"/>
        <v>3.9</v>
      </c>
      <c r="I86" s="18">
        <v>0.1</v>
      </c>
      <c r="J86" s="13">
        <f t="shared" si="5"/>
        <v>9.9999999999999992E-2</v>
      </c>
    </row>
    <row r="87" spans="1:10" x14ac:dyDescent="0.2">
      <c r="A87" s="4">
        <v>2006</v>
      </c>
      <c r="B87" s="4" t="s">
        <v>14</v>
      </c>
      <c r="C87" s="4" t="s">
        <v>18</v>
      </c>
      <c r="D87" s="5" t="s">
        <v>7</v>
      </c>
      <c r="E87" s="25">
        <v>43</v>
      </c>
      <c r="F87" s="25">
        <f t="shared" si="6"/>
        <v>206.82999999999998</v>
      </c>
      <c r="G87" s="18">
        <v>4.8099999999999996</v>
      </c>
      <c r="H87" s="13">
        <f t="shared" si="4"/>
        <v>4.8099999999999996</v>
      </c>
      <c r="I87" s="18">
        <v>0.11</v>
      </c>
      <c r="J87" s="13">
        <f t="shared" si="5"/>
        <v>0.11186046511627906</v>
      </c>
    </row>
    <row r="88" spans="1:10" x14ac:dyDescent="0.2">
      <c r="A88" s="4">
        <v>2006</v>
      </c>
      <c r="B88" s="4" t="s">
        <v>14</v>
      </c>
      <c r="C88" s="4" t="s">
        <v>18</v>
      </c>
      <c r="D88" s="5" t="s">
        <v>7</v>
      </c>
      <c r="E88" s="25">
        <v>45</v>
      </c>
      <c r="F88" s="25">
        <f t="shared" si="6"/>
        <v>220.95000000000002</v>
      </c>
      <c r="G88" s="18">
        <v>4.91</v>
      </c>
      <c r="H88" s="13">
        <f>F88/E88</f>
        <v>4.91</v>
      </c>
      <c r="I88" s="18">
        <v>0.11</v>
      </c>
      <c r="J88" s="13">
        <f t="shared" si="5"/>
        <v>0.10911111111111112</v>
      </c>
    </row>
    <row r="89" spans="1:10" x14ac:dyDescent="0.2">
      <c r="A89" s="4">
        <v>2006</v>
      </c>
      <c r="B89" s="4" t="s">
        <v>14</v>
      </c>
      <c r="C89" s="4" t="s">
        <v>17</v>
      </c>
      <c r="D89" s="5" t="s">
        <v>7</v>
      </c>
      <c r="E89" s="25">
        <v>34</v>
      </c>
      <c r="F89" s="25">
        <f t="shared" si="6"/>
        <v>146.88</v>
      </c>
      <c r="G89" s="18">
        <v>4.32</v>
      </c>
      <c r="H89" s="13">
        <f t="shared" si="4"/>
        <v>4.32</v>
      </c>
      <c r="I89" s="18">
        <v>0.13</v>
      </c>
      <c r="J89" s="13">
        <f t="shared" si="5"/>
        <v>0.12705882352941175</v>
      </c>
    </row>
    <row r="90" spans="1:10" x14ac:dyDescent="0.2">
      <c r="A90" s="4">
        <v>2006</v>
      </c>
      <c r="B90" s="4" t="s">
        <v>14</v>
      </c>
      <c r="C90" s="4" t="s">
        <v>18</v>
      </c>
      <c r="D90" s="5" t="s">
        <v>7</v>
      </c>
      <c r="E90" s="25">
        <v>41</v>
      </c>
      <c r="F90" s="25">
        <f t="shared" si="6"/>
        <v>184.09</v>
      </c>
      <c r="G90" s="18">
        <v>4.49</v>
      </c>
      <c r="H90" s="13">
        <f t="shared" si="4"/>
        <v>4.49</v>
      </c>
      <c r="I90" s="18">
        <v>0.11</v>
      </c>
      <c r="J90" s="13">
        <f t="shared" si="5"/>
        <v>0.10951219512195122</v>
      </c>
    </row>
    <row r="91" spans="1:10" x14ac:dyDescent="0.2">
      <c r="A91" s="4">
        <v>2006</v>
      </c>
      <c r="B91" s="4" t="s">
        <v>14</v>
      </c>
      <c r="C91" s="4" t="s">
        <v>18</v>
      </c>
      <c r="D91" s="5" t="s">
        <v>7</v>
      </c>
      <c r="E91" s="25">
        <v>40</v>
      </c>
      <c r="F91" s="25">
        <f t="shared" si="6"/>
        <v>191.20000000000002</v>
      </c>
      <c r="G91" s="18">
        <v>4.78</v>
      </c>
      <c r="H91" s="13">
        <f t="shared" si="4"/>
        <v>4.78</v>
      </c>
      <c r="I91" s="18">
        <v>0.12</v>
      </c>
      <c r="J91" s="13">
        <f t="shared" si="5"/>
        <v>0.11950000000000001</v>
      </c>
    </row>
    <row r="92" spans="1:10" x14ac:dyDescent="0.2">
      <c r="A92" s="4">
        <v>2006</v>
      </c>
      <c r="B92" s="4" t="s">
        <v>14</v>
      </c>
      <c r="C92" s="4" t="s">
        <v>18</v>
      </c>
      <c r="D92" s="5" t="s">
        <v>7</v>
      </c>
      <c r="E92" s="25">
        <v>45</v>
      </c>
      <c r="F92" s="25">
        <f t="shared" si="6"/>
        <v>226.8</v>
      </c>
      <c r="G92" s="18">
        <v>5.04</v>
      </c>
      <c r="H92" s="13">
        <f t="shared" si="4"/>
        <v>5.04</v>
      </c>
      <c r="I92" s="18">
        <v>0.11</v>
      </c>
      <c r="J92" s="13">
        <f t="shared" si="5"/>
        <v>0.112</v>
      </c>
    </row>
    <row r="93" spans="1:10" x14ac:dyDescent="0.2">
      <c r="A93" s="4">
        <v>2012</v>
      </c>
      <c r="B93" s="4" t="s">
        <v>14</v>
      </c>
      <c r="C93" s="4" t="s">
        <v>17</v>
      </c>
      <c r="D93" s="5" t="s">
        <v>7</v>
      </c>
      <c r="E93" s="23">
        <v>40</v>
      </c>
      <c r="F93" s="25">
        <f t="shared" si="6"/>
        <v>206.8</v>
      </c>
      <c r="G93" s="17">
        <v>5.17</v>
      </c>
      <c r="H93" s="13">
        <f t="shared" si="4"/>
        <v>5.17</v>
      </c>
      <c r="I93" s="17">
        <v>0.12</v>
      </c>
      <c r="J93" s="13">
        <f t="shared" si="5"/>
        <v>0.12925</v>
      </c>
    </row>
    <row r="94" spans="1:10" x14ac:dyDescent="0.2">
      <c r="A94" s="4">
        <v>2012</v>
      </c>
      <c r="B94" s="4" t="s">
        <v>14</v>
      </c>
      <c r="C94" s="4" t="s">
        <v>17</v>
      </c>
      <c r="D94" s="5" t="s">
        <v>7</v>
      </c>
      <c r="E94" s="22">
        <v>29</v>
      </c>
      <c r="F94" s="25">
        <f t="shared" si="6"/>
        <v>79.75</v>
      </c>
      <c r="G94" s="17">
        <v>2.75</v>
      </c>
      <c r="H94" s="13">
        <f t="shared" si="4"/>
        <v>2.75</v>
      </c>
      <c r="I94" s="17">
        <v>0.09</v>
      </c>
      <c r="J94" s="13">
        <f t="shared" si="5"/>
        <v>9.4827586206896547E-2</v>
      </c>
    </row>
    <row r="95" spans="1:10" x14ac:dyDescent="0.2">
      <c r="A95" s="4">
        <v>2012</v>
      </c>
      <c r="B95" s="4" t="s">
        <v>14</v>
      </c>
      <c r="C95" s="4" t="s">
        <v>17</v>
      </c>
      <c r="D95" s="5" t="s">
        <v>7</v>
      </c>
      <c r="E95" s="22">
        <v>26</v>
      </c>
      <c r="F95" s="25">
        <f t="shared" si="6"/>
        <v>83.98</v>
      </c>
      <c r="G95" s="17">
        <v>3.23</v>
      </c>
      <c r="H95" s="13">
        <f t="shared" si="4"/>
        <v>3.23</v>
      </c>
      <c r="I95" s="17">
        <v>0.12</v>
      </c>
      <c r="J95" s="13">
        <f t="shared" si="5"/>
        <v>0.12423076923076924</v>
      </c>
    </row>
    <row r="96" spans="1:10" x14ac:dyDescent="0.2">
      <c r="A96" s="4">
        <v>2012</v>
      </c>
      <c r="B96" s="4" t="s">
        <v>14</v>
      </c>
      <c r="C96" s="4" t="s">
        <v>17</v>
      </c>
      <c r="D96" s="5" t="s">
        <v>7</v>
      </c>
      <c r="E96" s="22">
        <v>31</v>
      </c>
      <c r="F96" s="25">
        <f t="shared" si="6"/>
        <v>110.98</v>
      </c>
      <c r="G96" s="17">
        <v>3.58</v>
      </c>
      <c r="H96" s="13">
        <f t="shared" si="4"/>
        <v>3.58</v>
      </c>
      <c r="I96" s="17">
        <v>0.11</v>
      </c>
      <c r="J96" s="13">
        <f t="shared" si="5"/>
        <v>0.11548387096774194</v>
      </c>
    </row>
    <row r="97" spans="1:10" x14ac:dyDescent="0.2">
      <c r="A97" s="4">
        <v>2012</v>
      </c>
      <c r="B97" s="4" t="s">
        <v>14</v>
      </c>
      <c r="C97" s="4" t="s">
        <v>17</v>
      </c>
      <c r="D97" s="5" t="s">
        <v>7</v>
      </c>
      <c r="E97" s="25">
        <v>31</v>
      </c>
      <c r="F97" s="25">
        <f t="shared" si="6"/>
        <v>141.97999999999999</v>
      </c>
      <c r="G97" s="18">
        <v>4.58</v>
      </c>
      <c r="H97" s="13">
        <f>F97/E97</f>
        <v>4.58</v>
      </c>
      <c r="I97" s="18">
        <v>0.14000000000000001</v>
      </c>
      <c r="J97" s="13">
        <f t="shared" si="5"/>
        <v>0.14774193548387096</v>
      </c>
    </row>
    <row r="98" spans="1:10" x14ac:dyDescent="0.2">
      <c r="A98" s="4">
        <v>2012</v>
      </c>
      <c r="B98" s="4" t="s">
        <v>14</v>
      </c>
      <c r="C98" s="4" t="s">
        <v>17</v>
      </c>
      <c r="D98" s="5" t="s">
        <v>7</v>
      </c>
      <c r="E98" s="25">
        <v>35</v>
      </c>
      <c r="F98" s="25">
        <f t="shared" si="6"/>
        <v>178.85000000000002</v>
      </c>
      <c r="G98" s="18">
        <v>5.1100000000000003</v>
      </c>
      <c r="H98" s="13">
        <f t="shared" ref="H98:H118" si="7">F98/E98</f>
        <v>5.1100000000000003</v>
      </c>
      <c r="I98" s="18">
        <v>0.14000000000000001</v>
      </c>
      <c r="J98" s="13">
        <f t="shared" ref="J98:J129" si="8">F98/(E98^2)</f>
        <v>0.14600000000000002</v>
      </c>
    </row>
    <row r="99" spans="1:10" ht="16" x14ac:dyDescent="0.2">
      <c r="A99" s="7">
        <v>2011</v>
      </c>
      <c r="B99" s="7" t="s">
        <v>14</v>
      </c>
      <c r="C99" s="7" t="s">
        <v>19</v>
      </c>
      <c r="D99" s="3" t="s">
        <v>7</v>
      </c>
      <c r="E99" s="20">
        <v>102</v>
      </c>
      <c r="F99" s="20">
        <v>675</v>
      </c>
      <c r="G99" s="13">
        <v>6.37</v>
      </c>
      <c r="H99" s="13">
        <f t="shared" si="7"/>
        <v>6.617647058823529</v>
      </c>
      <c r="I99" s="13">
        <v>5.0999999999999997E-2</v>
      </c>
      <c r="J99" s="13">
        <f t="shared" si="8"/>
        <v>6.4878892733564009E-2</v>
      </c>
    </row>
    <row r="100" spans="1:10" ht="16" x14ac:dyDescent="0.2">
      <c r="A100" s="7">
        <v>2011</v>
      </c>
      <c r="B100" s="7" t="s">
        <v>14</v>
      </c>
      <c r="C100" s="7" t="s">
        <v>19</v>
      </c>
      <c r="D100" s="3" t="s">
        <v>7</v>
      </c>
      <c r="E100" s="20">
        <v>129</v>
      </c>
      <c r="F100" s="20">
        <v>879</v>
      </c>
      <c r="G100" s="13">
        <v>7.53</v>
      </c>
      <c r="H100" s="13">
        <f t="shared" si="7"/>
        <v>6.8139534883720927</v>
      </c>
      <c r="I100" s="13">
        <v>7.3999999999999996E-2</v>
      </c>
      <c r="J100" s="13">
        <f t="shared" si="8"/>
        <v>5.2821344871101496E-2</v>
      </c>
    </row>
    <row r="101" spans="1:10" ht="16" x14ac:dyDescent="0.2">
      <c r="A101" s="7">
        <v>2011</v>
      </c>
      <c r="B101" s="7" t="s">
        <v>14</v>
      </c>
      <c r="C101" s="7" t="s">
        <v>20</v>
      </c>
      <c r="D101" s="3" t="s">
        <v>7</v>
      </c>
      <c r="E101" s="20">
        <v>100</v>
      </c>
      <c r="F101" s="20">
        <v>596</v>
      </c>
      <c r="G101" s="13">
        <v>5.83</v>
      </c>
      <c r="H101" s="13">
        <f t="shared" si="7"/>
        <v>5.96</v>
      </c>
      <c r="I101" s="13">
        <v>5.0999999999999997E-2</v>
      </c>
      <c r="J101" s="13">
        <f t="shared" si="8"/>
        <v>5.96E-2</v>
      </c>
    </row>
    <row r="102" spans="1:10" ht="16" x14ac:dyDescent="0.2">
      <c r="A102" s="7">
        <v>2011</v>
      </c>
      <c r="B102" s="7" t="s">
        <v>14</v>
      </c>
      <c r="C102" s="7" t="s">
        <v>20</v>
      </c>
      <c r="D102" s="3" t="s">
        <v>7</v>
      </c>
      <c r="E102" s="20">
        <v>131</v>
      </c>
      <c r="F102" s="20">
        <v>918</v>
      </c>
      <c r="G102" s="13">
        <v>7.01</v>
      </c>
      <c r="H102" s="13">
        <f t="shared" si="7"/>
        <v>7.0076335877862599</v>
      </c>
      <c r="I102" s="13">
        <v>0.06</v>
      </c>
      <c r="J102" s="13">
        <f t="shared" si="8"/>
        <v>5.3493386166307326E-2</v>
      </c>
    </row>
    <row r="103" spans="1:10" ht="16" x14ac:dyDescent="0.2">
      <c r="A103" s="7">
        <v>2011</v>
      </c>
      <c r="B103" s="7" t="s">
        <v>14</v>
      </c>
      <c r="C103" s="7" t="s">
        <v>21</v>
      </c>
      <c r="D103" s="3" t="s">
        <v>7</v>
      </c>
      <c r="E103" s="20">
        <v>93</v>
      </c>
      <c r="F103" s="20">
        <v>544</v>
      </c>
      <c r="G103" s="13">
        <v>5.85</v>
      </c>
      <c r="H103" s="13">
        <f t="shared" si="7"/>
        <v>5.849462365591398</v>
      </c>
      <c r="I103" s="13">
        <v>5.3999999999999999E-2</v>
      </c>
      <c r="J103" s="13">
        <f t="shared" si="8"/>
        <v>6.2897444791305351E-2</v>
      </c>
    </row>
    <row r="104" spans="1:10" ht="16" x14ac:dyDescent="0.2">
      <c r="A104" s="7">
        <v>2011</v>
      </c>
      <c r="B104" s="7" t="s">
        <v>14</v>
      </c>
      <c r="C104" s="4" t="s">
        <v>21</v>
      </c>
      <c r="D104" s="3" t="s">
        <v>7</v>
      </c>
      <c r="E104" s="23">
        <v>126</v>
      </c>
      <c r="F104" s="23">
        <v>854</v>
      </c>
      <c r="G104" s="15">
        <v>6.78</v>
      </c>
      <c r="H104" s="13">
        <f t="shared" si="7"/>
        <v>6.7777777777777777</v>
      </c>
      <c r="I104" s="15">
        <v>6.3E-2</v>
      </c>
      <c r="J104" s="13">
        <f t="shared" si="8"/>
        <v>5.3791887125220456E-2</v>
      </c>
    </row>
    <row r="105" spans="1:10" x14ac:dyDescent="0.2">
      <c r="A105" s="4">
        <v>2016</v>
      </c>
      <c r="B105" s="7" t="s">
        <v>14</v>
      </c>
      <c r="C105" s="7" t="s">
        <v>19</v>
      </c>
      <c r="D105" s="4" t="s">
        <v>25</v>
      </c>
      <c r="E105" s="25">
        <v>113</v>
      </c>
      <c r="F105" s="25">
        <v>540</v>
      </c>
      <c r="G105" s="18">
        <v>4.78</v>
      </c>
      <c r="H105" s="13">
        <f t="shared" si="7"/>
        <v>4.778761061946903</v>
      </c>
      <c r="I105" s="18">
        <v>0.04</v>
      </c>
      <c r="J105" s="13">
        <f t="shared" si="8"/>
        <v>4.2289920902184981E-2</v>
      </c>
    </row>
    <row r="106" spans="1:10" x14ac:dyDescent="0.2">
      <c r="A106" s="4">
        <v>2016</v>
      </c>
      <c r="B106" s="7" t="s">
        <v>14</v>
      </c>
      <c r="C106" s="7" t="s">
        <v>19</v>
      </c>
      <c r="D106" s="4" t="s">
        <v>25</v>
      </c>
      <c r="E106" s="25">
        <v>133</v>
      </c>
      <c r="F106" s="25">
        <v>824</v>
      </c>
      <c r="G106" s="18">
        <v>6.2</v>
      </c>
      <c r="H106" s="13">
        <f t="shared" si="7"/>
        <v>6.1954887218045114</v>
      </c>
      <c r="I106" s="18">
        <v>0.05</v>
      </c>
      <c r="J106" s="13">
        <f t="shared" si="8"/>
        <v>4.6582621968454974E-2</v>
      </c>
    </row>
    <row r="107" spans="1:10" x14ac:dyDescent="0.2">
      <c r="A107" s="4">
        <v>2016</v>
      </c>
      <c r="B107" s="7" t="s">
        <v>14</v>
      </c>
      <c r="C107" s="7" t="s">
        <v>19</v>
      </c>
      <c r="D107" s="4" t="s">
        <v>25</v>
      </c>
      <c r="E107" s="25">
        <v>89</v>
      </c>
      <c r="F107" s="25">
        <v>365</v>
      </c>
      <c r="G107" s="18">
        <v>4.0999999999999996</v>
      </c>
      <c r="H107" s="13">
        <f t="shared" si="7"/>
        <v>4.1011235955056176</v>
      </c>
      <c r="I107" s="18">
        <v>0.05</v>
      </c>
      <c r="J107" s="13">
        <f t="shared" si="8"/>
        <v>4.608004039893953E-2</v>
      </c>
    </row>
    <row r="108" spans="1:10" x14ac:dyDescent="0.2">
      <c r="A108" s="4">
        <v>2016</v>
      </c>
      <c r="B108" s="7" t="s">
        <v>14</v>
      </c>
      <c r="C108" s="7" t="s">
        <v>19</v>
      </c>
      <c r="D108" s="4" t="s">
        <v>25</v>
      </c>
      <c r="E108" s="25">
        <v>77</v>
      </c>
      <c r="F108" s="25">
        <v>266</v>
      </c>
      <c r="G108" s="18">
        <v>3.46</v>
      </c>
      <c r="H108" s="13">
        <f t="shared" si="7"/>
        <v>3.4545454545454546</v>
      </c>
      <c r="I108" s="18">
        <v>0.04</v>
      </c>
      <c r="J108" s="13">
        <f t="shared" si="8"/>
        <v>4.4864226682408498E-2</v>
      </c>
    </row>
    <row r="109" spans="1:10" x14ac:dyDescent="0.2">
      <c r="A109" s="4">
        <v>2018</v>
      </c>
      <c r="B109" s="4" t="s">
        <v>6</v>
      </c>
      <c r="C109" s="4" t="s">
        <v>19</v>
      </c>
      <c r="D109" s="5" t="s">
        <v>7</v>
      </c>
      <c r="E109" s="23">
        <v>31</v>
      </c>
      <c r="F109" s="23">
        <v>77</v>
      </c>
      <c r="G109" s="15">
        <f t="shared" ref="G109:G114" si="9">F109/E109</f>
        <v>2.4838709677419355</v>
      </c>
      <c r="H109" s="13">
        <f t="shared" si="7"/>
        <v>2.4838709677419355</v>
      </c>
      <c r="I109" s="15">
        <f t="shared" ref="I109:I114" si="10">F109/(E109*E109)</f>
        <v>8.0124869927159212E-2</v>
      </c>
      <c r="J109" s="13">
        <f t="shared" si="8"/>
        <v>8.0124869927159212E-2</v>
      </c>
    </row>
    <row r="110" spans="1:10" x14ac:dyDescent="0.2">
      <c r="A110" s="4">
        <v>2018</v>
      </c>
      <c r="B110" s="4" t="s">
        <v>6</v>
      </c>
      <c r="C110" s="4" t="s">
        <v>19</v>
      </c>
      <c r="D110" s="5" t="s">
        <v>7</v>
      </c>
      <c r="E110" s="23">
        <v>17</v>
      </c>
      <c r="F110" s="23">
        <v>39</v>
      </c>
      <c r="G110" s="15">
        <f t="shared" si="9"/>
        <v>2.2941176470588234</v>
      </c>
      <c r="H110" s="13">
        <f t="shared" si="7"/>
        <v>2.2941176470588234</v>
      </c>
      <c r="I110" s="15">
        <f t="shared" si="10"/>
        <v>0.13494809688581316</v>
      </c>
      <c r="J110" s="13">
        <f t="shared" si="8"/>
        <v>0.13494809688581316</v>
      </c>
    </row>
    <row r="111" spans="1:10" s="10" customFormat="1" x14ac:dyDescent="0.2">
      <c r="A111" s="10">
        <v>2018</v>
      </c>
      <c r="B111" s="10" t="s">
        <v>6</v>
      </c>
      <c r="C111" s="4" t="s">
        <v>19</v>
      </c>
      <c r="D111" s="11" t="s">
        <v>22</v>
      </c>
      <c r="E111" s="21">
        <v>32</v>
      </c>
      <c r="F111" s="21">
        <v>87</v>
      </c>
      <c r="G111" s="14">
        <f t="shared" si="9"/>
        <v>2.71875</v>
      </c>
      <c r="H111" s="13">
        <f t="shared" si="7"/>
        <v>2.71875</v>
      </c>
      <c r="I111" s="14">
        <f t="shared" si="10"/>
        <v>8.49609375E-2</v>
      </c>
      <c r="J111" s="13">
        <f t="shared" si="8"/>
        <v>8.49609375E-2</v>
      </c>
    </row>
    <row r="112" spans="1:10" x14ac:dyDescent="0.2">
      <c r="A112" s="4">
        <v>2018</v>
      </c>
      <c r="B112" s="4" t="s">
        <v>6</v>
      </c>
      <c r="C112" s="4" t="s">
        <v>19</v>
      </c>
      <c r="D112" s="5" t="s">
        <v>23</v>
      </c>
      <c r="E112" s="23">
        <v>24</v>
      </c>
      <c r="F112" s="23">
        <v>75</v>
      </c>
      <c r="G112" s="15">
        <f t="shared" si="9"/>
        <v>3.125</v>
      </c>
      <c r="H112" s="13">
        <f t="shared" si="7"/>
        <v>3.125</v>
      </c>
      <c r="I112" s="15">
        <f t="shared" si="10"/>
        <v>0.13020833333333334</v>
      </c>
      <c r="J112" s="13">
        <f t="shared" si="8"/>
        <v>0.13020833333333334</v>
      </c>
    </row>
    <row r="113" spans="1:10" x14ac:dyDescent="0.2">
      <c r="A113" s="4">
        <v>2018</v>
      </c>
      <c r="B113" s="4" t="s">
        <v>6</v>
      </c>
      <c r="C113" s="4" t="s">
        <v>19</v>
      </c>
      <c r="D113" s="4" t="s">
        <v>15</v>
      </c>
      <c r="E113" s="23">
        <v>33</v>
      </c>
      <c r="F113" s="23">
        <v>123</v>
      </c>
      <c r="G113" s="15">
        <f t="shared" si="9"/>
        <v>3.7272727272727271</v>
      </c>
      <c r="H113" s="13">
        <f t="shared" si="7"/>
        <v>3.7272727272727271</v>
      </c>
      <c r="I113" s="15">
        <f t="shared" si="10"/>
        <v>0.11294765840220386</v>
      </c>
      <c r="J113" s="13">
        <f t="shared" si="8"/>
        <v>0.11294765840220386</v>
      </c>
    </row>
    <row r="114" spans="1:10" x14ac:dyDescent="0.2">
      <c r="A114" s="4">
        <v>2018</v>
      </c>
      <c r="B114" s="4" t="s">
        <v>6</v>
      </c>
      <c r="C114" s="4" t="s">
        <v>19</v>
      </c>
      <c r="D114" s="4" t="s">
        <v>8</v>
      </c>
      <c r="E114" s="23">
        <v>22</v>
      </c>
      <c r="F114" s="23">
        <v>42</v>
      </c>
      <c r="G114" s="15">
        <f t="shared" si="9"/>
        <v>1.9090909090909092</v>
      </c>
      <c r="H114" s="13">
        <f t="shared" si="7"/>
        <v>1.9090909090909092</v>
      </c>
      <c r="I114" s="15">
        <f t="shared" si="10"/>
        <v>8.6776859504132234E-2</v>
      </c>
      <c r="J114" s="13">
        <f t="shared" si="8"/>
        <v>8.6776859504132234E-2</v>
      </c>
    </row>
    <row r="115" spans="1:10" ht="16" x14ac:dyDescent="0.2">
      <c r="A115" s="4">
        <v>1996</v>
      </c>
      <c r="B115" s="4" t="s">
        <v>13</v>
      </c>
      <c r="C115" s="4" t="s">
        <v>19</v>
      </c>
      <c r="D115" s="2" t="s">
        <v>7</v>
      </c>
      <c r="E115" s="22">
        <v>39</v>
      </c>
      <c r="F115" s="22">
        <v>146</v>
      </c>
      <c r="G115" s="17">
        <v>3.74</v>
      </c>
      <c r="H115" s="13">
        <f t="shared" si="7"/>
        <v>3.7435897435897436</v>
      </c>
      <c r="I115" s="17">
        <v>9.9000000000000005E-2</v>
      </c>
      <c r="J115" s="13">
        <f t="shared" si="8"/>
        <v>9.5989480604865215E-2</v>
      </c>
    </row>
    <row r="116" spans="1:10" ht="16" x14ac:dyDescent="0.2">
      <c r="A116" s="4">
        <v>1996</v>
      </c>
      <c r="B116" s="4" t="s">
        <v>13</v>
      </c>
      <c r="C116" s="4" t="s">
        <v>19</v>
      </c>
      <c r="D116" s="2" t="s">
        <v>7</v>
      </c>
      <c r="E116" s="22">
        <v>35</v>
      </c>
      <c r="F116" s="22">
        <v>110</v>
      </c>
      <c r="G116" s="17">
        <v>3.14</v>
      </c>
      <c r="H116" s="13">
        <f t="shared" si="7"/>
        <v>3.1428571428571428</v>
      </c>
      <c r="I116" s="17">
        <v>9.1999999999999998E-2</v>
      </c>
      <c r="J116" s="13">
        <f t="shared" si="8"/>
        <v>8.9795918367346933E-2</v>
      </c>
    </row>
    <row r="117" spans="1:10" ht="16" x14ac:dyDescent="0.2">
      <c r="A117" s="4">
        <v>1996</v>
      </c>
      <c r="B117" s="4" t="s">
        <v>13</v>
      </c>
      <c r="C117" s="4" t="s">
        <v>19</v>
      </c>
      <c r="D117" s="2" t="s">
        <v>7</v>
      </c>
      <c r="E117" s="22">
        <v>32</v>
      </c>
      <c r="F117" s="22">
        <v>107</v>
      </c>
      <c r="G117" s="17">
        <v>3.34</v>
      </c>
      <c r="H117" s="13">
        <f t="shared" si="7"/>
        <v>3.34375</v>
      </c>
      <c r="I117" s="17">
        <v>0.108</v>
      </c>
      <c r="J117" s="13">
        <f t="shared" si="8"/>
        <v>0.1044921875</v>
      </c>
    </row>
    <row r="118" spans="1:10" ht="16" x14ac:dyDescent="0.2">
      <c r="A118" s="4">
        <v>1996</v>
      </c>
      <c r="B118" s="4" t="s">
        <v>13</v>
      </c>
      <c r="C118" s="4" t="s">
        <v>19</v>
      </c>
      <c r="D118" s="2" t="s">
        <v>7</v>
      </c>
      <c r="E118" s="22">
        <v>31</v>
      </c>
      <c r="F118" s="22">
        <v>102</v>
      </c>
      <c r="G118" s="17">
        <v>3.29</v>
      </c>
      <c r="H118" s="13">
        <f t="shared" si="7"/>
        <v>3.2903225806451615</v>
      </c>
      <c r="I118" s="17">
        <v>0.109</v>
      </c>
      <c r="J118" s="13">
        <f t="shared" si="8"/>
        <v>0.10613943808532779</v>
      </c>
    </row>
    <row r="119" spans="1:10" s="8" customFormat="1" ht="16" x14ac:dyDescent="0.2">
      <c r="A119" s="4">
        <v>1996</v>
      </c>
      <c r="B119" s="4" t="s">
        <v>13</v>
      </c>
      <c r="C119" s="4" t="s">
        <v>19</v>
      </c>
      <c r="D119" s="2" t="s">
        <v>7</v>
      </c>
      <c r="E119" s="22">
        <v>37</v>
      </c>
      <c r="F119" s="22">
        <v>120</v>
      </c>
      <c r="G119" s="17">
        <v>3.24</v>
      </c>
      <c r="H119" s="13">
        <f>F119/E119</f>
        <v>3.2432432432432434</v>
      </c>
      <c r="I119" s="17">
        <v>0.09</v>
      </c>
      <c r="J119" s="13">
        <f t="shared" si="8"/>
        <v>8.7655222790357923E-2</v>
      </c>
    </row>
    <row r="120" spans="1:10" ht="16" x14ac:dyDescent="0.2">
      <c r="A120" s="4">
        <v>1996</v>
      </c>
      <c r="B120" s="4" t="s">
        <v>13</v>
      </c>
      <c r="C120" s="4" t="s">
        <v>19</v>
      </c>
      <c r="D120" s="2" t="s">
        <v>7</v>
      </c>
      <c r="E120" s="22">
        <v>32</v>
      </c>
      <c r="F120" s="22">
        <v>101</v>
      </c>
      <c r="G120" s="17">
        <v>3.16</v>
      </c>
      <c r="H120" s="13">
        <f t="shared" ref="H120:H137" si="11">F120/E120</f>
        <v>3.15625</v>
      </c>
      <c r="I120" s="17">
        <v>0.10199999999999999</v>
      </c>
      <c r="J120" s="13">
        <f t="shared" si="8"/>
        <v>9.86328125E-2</v>
      </c>
    </row>
    <row r="121" spans="1:10" ht="16" x14ac:dyDescent="0.2">
      <c r="A121" s="4">
        <v>1996</v>
      </c>
      <c r="B121" s="4" t="s">
        <v>13</v>
      </c>
      <c r="C121" s="4" t="s">
        <v>19</v>
      </c>
      <c r="D121" s="2" t="s">
        <v>7</v>
      </c>
      <c r="E121" s="22">
        <v>33</v>
      </c>
      <c r="F121" s="22">
        <v>104</v>
      </c>
      <c r="G121" s="17">
        <v>3.15</v>
      </c>
      <c r="H121" s="13">
        <f t="shared" si="11"/>
        <v>3.1515151515151514</v>
      </c>
      <c r="I121" s="17">
        <v>9.8000000000000004E-2</v>
      </c>
      <c r="J121" s="13">
        <f t="shared" si="8"/>
        <v>9.5500459136822771E-2</v>
      </c>
    </row>
    <row r="122" spans="1:10" x14ac:dyDescent="0.2">
      <c r="A122" s="7">
        <v>2010</v>
      </c>
      <c r="B122" s="4" t="s">
        <v>6</v>
      </c>
      <c r="C122" s="4" t="s">
        <v>18</v>
      </c>
      <c r="D122" s="4" t="s">
        <v>7</v>
      </c>
      <c r="E122" s="20">
        <v>36</v>
      </c>
      <c r="F122" s="20">
        <v>152</v>
      </c>
      <c r="G122" s="13">
        <v>4.22</v>
      </c>
      <c r="H122" s="13">
        <f t="shared" si="11"/>
        <v>4.2222222222222223</v>
      </c>
      <c r="I122" s="15">
        <f>152/(36*(36))</f>
        <v>0.11728395061728394</v>
      </c>
      <c r="J122" s="13">
        <f t="shared" si="8"/>
        <v>0.11728395061728394</v>
      </c>
    </row>
    <row r="123" spans="1:10" x14ac:dyDescent="0.2">
      <c r="A123" s="4">
        <v>2013</v>
      </c>
      <c r="B123" s="4" t="s">
        <v>14</v>
      </c>
      <c r="C123" s="7" t="s">
        <v>19</v>
      </c>
      <c r="D123" s="4" t="s">
        <v>7</v>
      </c>
      <c r="E123" s="23">
        <v>11</v>
      </c>
      <c r="F123" s="23">
        <v>42</v>
      </c>
      <c r="G123" s="15">
        <v>3.8181818181818183</v>
      </c>
      <c r="H123" s="13">
        <f t="shared" si="11"/>
        <v>3.8181818181818183</v>
      </c>
      <c r="I123" s="15">
        <v>0.35</v>
      </c>
      <c r="J123" s="13">
        <f t="shared" si="8"/>
        <v>0.34710743801652894</v>
      </c>
    </row>
    <row r="124" spans="1:10" x14ac:dyDescent="0.2">
      <c r="A124" s="4">
        <v>2013</v>
      </c>
      <c r="B124" s="4" t="s">
        <v>14</v>
      </c>
      <c r="C124" s="7" t="s">
        <v>19</v>
      </c>
      <c r="D124" s="4" t="s">
        <v>7</v>
      </c>
      <c r="E124" s="23">
        <v>7</v>
      </c>
      <c r="F124" s="23">
        <v>29</v>
      </c>
      <c r="G124" s="15">
        <v>4.1428571428571432</v>
      </c>
      <c r="H124" s="13">
        <f t="shared" si="11"/>
        <v>4.1428571428571432</v>
      </c>
      <c r="I124" s="15">
        <v>0.59</v>
      </c>
      <c r="J124" s="13">
        <f t="shared" si="8"/>
        <v>0.59183673469387754</v>
      </c>
    </row>
    <row r="125" spans="1:10" x14ac:dyDescent="0.2">
      <c r="A125" s="4">
        <v>2013</v>
      </c>
      <c r="B125" s="4" t="s">
        <v>14</v>
      </c>
      <c r="C125" s="7" t="s">
        <v>19</v>
      </c>
      <c r="D125" s="4" t="s">
        <v>7</v>
      </c>
      <c r="E125" s="23">
        <v>13</v>
      </c>
      <c r="F125" s="23">
        <v>41</v>
      </c>
      <c r="G125" s="15">
        <v>3.1538461538461537</v>
      </c>
      <c r="H125" s="13">
        <f t="shared" si="11"/>
        <v>3.1538461538461537</v>
      </c>
      <c r="I125" s="15">
        <v>0.24</v>
      </c>
      <c r="J125" s="13">
        <f t="shared" si="8"/>
        <v>0.24260355029585798</v>
      </c>
    </row>
    <row r="126" spans="1:10" x14ac:dyDescent="0.2">
      <c r="A126" s="4">
        <v>2013</v>
      </c>
      <c r="B126" s="4" t="s">
        <v>14</v>
      </c>
      <c r="C126" s="7" t="s">
        <v>19</v>
      </c>
      <c r="D126" s="4" t="s">
        <v>7</v>
      </c>
      <c r="E126" s="23">
        <v>12</v>
      </c>
      <c r="F126" s="23">
        <v>44</v>
      </c>
      <c r="G126" s="15">
        <v>3.6666666666666665</v>
      </c>
      <c r="H126" s="13">
        <f t="shared" si="11"/>
        <v>3.6666666666666665</v>
      </c>
      <c r="I126" s="15">
        <v>0.31</v>
      </c>
      <c r="J126" s="13">
        <f t="shared" si="8"/>
        <v>0.30555555555555558</v>
      </c>
    </row>
    <row r="127" spans="1:10" x14ac:dyDescent="0.2">
      <c r="A127" s="4">
        <v>2013</v>
      </c>
      <c r="B127" s="4" t="s">
        <v>14</v>
      </c>
      <c r="C127" s="7" t="s">
        <v>19</v>
      </c>
      <c r="D127" s="4" t="s">
        <v>7</v>
      </c>
      <c r="E127" s="23">
        <v>10</v>
      </c>
      <c r="F127" s="23">
        <v>35</v>
      </c>
      <c r="G127" s="15">
        <v>3.5</v>
      </c>
      <c r="H127" s="13">
        <f t="shared" si="11"/>
        <v>3.5</v>
      </c>
      <c r="I127" s="15">
        <v>0.35</v>
      </c>
      <c r="J127" s="13">
        <f t="shared" si="8"/>
        <v>0.35</v>
      </c>
    </row>
    <row r="128" spans="1:10" x14ac:dyDescent="0.2">
      <c r="A128" s="4">
        <v>2013</v>
      </c>
      <c r="B128" s="4" t="s">
        <v>14</v>
      </c>
      <c r="C128" s="7" t="s">
        <v>19</v>
      </c>
      <c r="D128" s="4" t="s">
        <v>7</v>
      </c>
      <c r="E128" s="23">
        <v>10</v>
      </c>
      <c r="F128" s="23">
        <v>30</v>
      </c>
      <c r="G128" s="15">
        <v>3</v>
      </c>
      <c r="H128" s="13">
        <f t="shared" si="11"/>
        <v>3</v>
      </c>
      <c r="I128" s="15">
        <v>0.3</v>
      </c>
      <c r="J128" s="13">
        <f t="shared" si="8"/>
        <v>0.3</v>
      </c>
    </row>
    <row r="129" spans="1:10" x14ac:dyDescent="0.2">
      <c r="A129" s="4">
        <v>2013</v>
      </c>
      <c r="B129" s="4" t="s">
        <v>14</v>
      </c>
      <c r="C129" s="7" t="s">
        <v>19</v>
      </c>
      <c r="D129" s="4" t="s">
        <v>7</v>
      </c>
      <c r="E129" s="23">
        <v>9</v>
      </c>
      <c r="F129" s="23">
        <v>26</v>
      </c>
      <c r="G129" s="15">
        <v>2.8888888888888888</v>
      </c>
      <c r="H129" s="13">
        <f t="shared" si="11"/>
        <v>2.8888888888888888</v>
      </c>
      <c r="I129" s="15">
        <v>0.32</v>
      </c>
      <c r="J129" s="13">
        <f t="shared" si="8"/>
        <v>0.32098765432098764</v>
      </c>
    </row>
    <row r="130" spans="1:10" x14ac:dyDescent="0.2">
      <c r="A130" s="4">
        <v>2013</v>
      </c>
      <c r="B130" s="4" t="s">
        <v>14</v>
      </c>
      <c r="C130" s="7" t="s">
        <v>19</v>
      </c>
      <c r="D130" s="4" t="s">
        <v>7</v>
      </c>
      <c r="E130" s="23">
        <v>12</v>
      </c>
      <c r="F130" s="23">
        <v>38</v>
      </c>
      <c r="G130" s="15">
        <v>3.1666666666666665</v>
      </c>
      <c r="H130" s="13">
        <f t="shared" si="11"/>
        <v>3.1666666666666665</v>
      </c>
      <c r="I130" s="15">
        <v>0.26</v>
      </c>
      <c r="J130" s="13">
        <f t="shared" ref="J130:J163" si="12">F130/(E130^2)</f>
        <v>0.2638888888888889</v>
      </c>
    </row>
    <row r="131" spans="1:10" x14ac:dyDescent="0.2">
      <c r="A131" s="4">
        <v>2013</v>
      </c>
      <c r="B131" s="4" t="s">
        <v>14</v>
      </c>
      <c r="C131" s="7" t="s">
        <v>19</v>
      </c>
      <c r="D131" s="4" t="s">
        <v>7</v>
      </c>
      <c r="E131" s="23">
        <v>9</v>
      </c>
      <c r="F131" s="23">
        <v>23</v>
      </c>
      <c r="G131" s="15">
        <v>2.5555555555555554</v>
      </c>
      <c r="H131" s="13">
        <f t="shared" si="11"/>
        <v>2.5555555555555554</v>
      </c>
      <c r="I131" s="15">
        <v>0.28000000000000003</v>
      </c>
      <c r="J131" s="13">
        <f t="shared" si="12"/>
        <v>0.2839506172839506</v>
      </c>
    </row>
    <row r="132" spans="1:10" x14ac:dyDescent="0.2">
      <c r="A132" s="4">
        <v>2017</v>
      </c>
      <c r="B132" s="4" t="s">
        <v>14</v>
      </c>
      <c r="C132" s="4" t="s">
        <v>17</v>
      </c>
      <c r="D132" s="4" t="s">
        <v>7</v>
      </c>
      <c r="E132" s="25">
        <v>27</v>
      </c>
      <c r="F132" s="25">
        <f t="shared" ref="F132:F143" si="13">E132*G132</f>
        <v>63.99</v>
      </c>
      <c r="G132" s="18">
        <v>2.37</v>
      </c>
      <c r="H132" s="13">
        <f t="shared" si="11"/>
        <v>2.37</v>
      </c>
      <c r="I132" s="18">
        <v>8.7999999999999995E-2</v>
      </c>
      <c r="J132" s="13">
        <f t="shared" si="12"/>
        <v>8.7777777777777774E-2</v>
      </c>
    </row>
    <row r="133" spans="1:10" x14ac:dyDescent="0.2">
      <c r="A133" s="4">
        <v>2017</v>
      </c>
      <c r="B133" s="4" t="s">
        <v>14</v>
      </c>
      <c r="C133" s="4" t="s">
        <v>17</v>
      </c>
      <c r="D133" s="4" t="s">
        <v>7</v>
      </c>
      <c r="E133" s="25">
        <v>23</v>
      </c>
      <c r="F133" s="25">
        <f t="shared" si="13"/>
        <v>64.009</v>
      </c>
      <c r="G133" s="18">
        <v>2.7829999999999999</v>
      </c>
      <c r="H133" s="13">
        <f t="shared" si="11"/>
        <v>2.7829999999999999</v>
      </c>
      <c r="I133" s="18">
        <v>0.121</v>
      </c>
      <c r="J133" s="13">
        <f t="shared" si="12"/>
        <v>0.121</v>
      </c>
    </row>
    <row r="134" spans="1:10" x14ac:dyDescent="0.2">
      <c r="A134" s="4">
        <v>2017</v>
      </c>
      <c r="B134" s="4" t="s">
        <v>14</v>
      </c>
      <c r="C134" s="4" t="s">
        <v>17</v>
      </c>
      <c r="D134" s="4" t="s">
        <v>7</v>
      </c>
      <c r="E134" s="25">
        <v>19</v>
      </c>
      <c r="F134" s="25">
        <f t="shared" si="13"/>
        <v>52.003</v>
      </c>
      <c r="G134" s="18">
        <v>2.7370000000000001</v>
      </c>
      <c r="H134" s="13">
        <f t="shared" si="11"/>
        <v>2.7370000000000001</v>
      </c>
      <c r="I134" s="18">
        <v>0.14399999999999999</v>
      </c>
      <c r="J134" s="13">
        <f t="shared" si="12"/>
        <v>0.14405263157894738</v>
      </c>
    </row>
    <row r="135" spans="1:10" x14ac:dyDescent="0.2">
      <c r="A135" s="4">
        <v>2017</v>
      </c>
      <c r="B135" s="4" t="s">
        <v>14</v>
      </c>
      <c r="C135" s="4" t="s">
        <v>17</v>
      </c>
      <c r="D135" s="4" t="s">
        <v>7</v>
      </c>
      <c r="E135" s="25">
        <v>20</v>
      </c>
      <c r="F135" s="25">
        <f t="shared" si="13"/>
        <v>56</v>
      </c>
      <c r="G135" s="18">
        <v>2.8</v>
      </c>
      <c r="H135" s="13">
        <f t="shared" si="11"/>
        <v>2.8</v>
      </c>
      <c r="I135" s="18">
        <v>0.14000000000000001</v>
      </c>
      <c r="J135" s="13">
        <f t="shared" si="12"/>
        <v>0.14000000000000001</v>
      </c>
    </row>
    <row r="136" spans="1:10" x14ac:dyDescent="0.2">
      <c r="A136" s="4">
        <v>2017</v>
      </c>
      <c r="B136" s="4" t="s">
        <v>14</v>
      </c>
      <c r="C136" s="4" t="s">
        <v>17</v>
      </c>
      <c r="D136" s="4" t="s">
        <v>7</v>
      </c>
      <c r="E136" s="25">
        <v>24</v>
      </c>
      <c r="F136" s="25">
        <f t="shared" si="13"/>
        <v>73.007999999999996</v>
      </c>
      <c r="G136" s="18">
        <v>3.0419999999999998</v>
      </c>
      <c r="H136" s="13">
        <f t="shared" si="11"/>
        <v>3.0419999999999998</v>
      </c>
      <c r="I136" s="18">
        <v>0.127</v>
      </c>
      <c r="J136" s="13">
        <f t="shared" si="12"/>
        <v>0.12675</v>
      </c>
    </row>
    <row r="137" spans="1:10" x14ac:dyDescent="0.2">
      <c r="A137" s="4">
        <v>2017</v>
      </c>
      <c r="B137" s="4" t="s">
        <v>14</v>
      </c>
      <c r="C137" s="4" t="s">
        <v>17</v>
      </c>
      <c r="D137" s="4" t="s">
        <v>7</v>
      </c>
      <c r="E137" s="25">
        <v>16</v>
      </c>
      <c r="F137" s="25">
        <f t="shared" si="13"/>
        <v>47.008000000000003</v>
      </c>
      <c r="G137" s="18">
        <v>2.9380000000000002</v>
      </c>
      <c r="H137" s="13">
        <f t="shared" si="11"/>
        <v>2.9380000000000002</v>
      </c>
      <c r="I137" s="18">
        <v>0.184</v>
      </c>
      <c r="J137" s="13">
        <f t="shared" si="12"/>
        <v>0.18362500000000001</v>
      </c>
    </row>
    <row r="138" spans="1:10" x14ac:dyDescent="0.2">
      <c r="A138" s="4">
        <v>2017</v>
      </c>
      <c r="B138" s="4" t="s">
        <v>14</v>
      </c>
      <c r="C138" s="4" t="s">
        <v>17</v>
      </c>
      <c r="D138" s="4" t="s">
        <v>7</v>
      </c>
      <c r="E138" s="25">
        <v>26</v>
      </c>
      <c r="F138" s="25">
        <f t="shared" si="13"/>
        <v>82.992000000000004</v>
      </c>
      <c r="G138" s="18">
        <v>3.1920000000000002</v>
      </c>
      <c r="H138" s="13">
        <f>F138/E138</f>
        <v>3.1920000000000002</v>
      </c>
      <c r="I138" s="18">
        <v>0.123</v>
      </c>
      <c r="J138" s="13">
        <f t="shared" si="12"/>
        <v>0.12276923076923077</v>
      </c>
    </row>
    <row r="139" spans="1:10" x14ac:dyDescent="0.2">
      <c r="A139" s="4">
        <v>2017</v>
      </c>
      <c r="B139" s="4" t="s">
        <v>14</v>
      </c>
      <c r="C139" s="4" t="s">
        <v>17</v>
      </c>
      <c r="D139" s="4" t="s">
        <v>7</v>
      </c>
      <c r="E139" s="25">
        <v>23</v>
      </c>
      <c r="F139" s="25">
        <f t="shared" si="13"/>
        <v>68.010999999999996</v>
      </c>
      <c r="G139" s="18">
        <v>2.9569999999999999</v>
      </c>
      <c r="H139" s="13">
        <f t="shared" ref="H139:H159" si="14">F139/E139</f>
        <v>2.9569999999999999</v>
      </c>
      <c r="I139" s="18">
        <v>0.129</v>
      </c>
      <c r="J139" s="13">
        <f t="shared" si="12"/>
        <v>0.12856521739130433</v>
      </c>
    </row>
    <row r="140" spans="1:10" x14ac:dyDescent="0.2">
      <c r="A140" s="4">
        <v>2017</v>
      </c>
      <c r="B140" s="4" t="s">
        <v>14</v>
      </c>
      <c r="C140" s="4" t="s">
        <v>17</v>
      </c>
      <c r="D140" s="4" t="s">
        <v>7</v>
      </c>
      <c r="E140" s="25">
        <v>25</v>
      </c>
      <c r="F140" s="25">
        <f t="shared" si="13"/>
        <v>75</v>
      </c>
      <c r="G140" s="18">
        <v>3</v>
      </c>
      <c r="H140" s="13">
        <f t="shared" si="14"/>
        <v>3</v>
      </c>
      <c r="I140" s="18">
        <v>0.12</v>
      </c>
      <c r="J140" s="13">
        <f t="shared" si="12"/>
        <v>0.12</v>
      </c>
    </row>
    <row r="141" spans="1:10" x14ac:dyDescent="0.2">
      <c r="A141" s="4">
        <v>2017</v>
      </c>
      <c r="B141" s="4" t="s">
        <v>14</v>
      </c>
      <c r="C141" s="4" t="s">
        <v>17</v>
      </c>
      <c r="D141" s="4" t="s">
        <v>7</v>
      </c>
      <c r="E141" s="25">
        <v>18</v>
      </c>
      <c r="F141" s="25">
        <f t="shared" si="13"/>
        <v>52.001999999999995</v>
      </c>
      <c r="G141" s="18">
        <v>2.8889999999999998</v>
      </c>
      <c r="H141" s="13">
        <f t="shared" si="14"/>
        <v>2.8889999999999998</v>
      </c>
      <c r="I141" s="18">
        <v>0.16</v>
      </c>
      <c r="J141" s="13">
        <f t="shared" si="12"/>
        <v>0.16049999999999998</v>
      </c>
    </row>
    <row r="142" spans="1:10" x14ac:dyDescent="0.2">
      <c r="A142" s="4">
        <v>2017</v>
      </c>
      <c r="B142" s="4" t="s">
        <v>14</v>
      </c>
      <c r="C142" s="4" t="s">
        <v>17</v>
      </c>
      <c r="D142" s="4" t="s">
        <v>7</v>
      </c>
      <c r="E142" s="25">
        <v>27</v>
      </c>
      <c r="F142" s="25">
        <f t="shared" si="13"/>
        <v>77.003999999999991</v>
      </c>
      <c r="G142" s="18">
        <v>2.8519999999999999</v>
      </c>
      <c r="H142" s="13">
        <f t="shared" si="14"/>
        <v>2.8519999999999999</v>
      </c>
      <c r="I142" s="18">
        <v>0.106</v>
      </c>
      <c r="J142" s="13">
        <f t="shared" si="12"/>
        <v>0.10562962962962961</v>
      </c>
    </row>
    <row r="143" spans="1:10" x14ac:dyDescent="0.2">
      <c r="A143" s="4">
        <v>2017</v>
      </c>
      <c r="B143" s="4" t="s">
        <v>14</v>
      </c>
      <c r="C143" s="4" t="s">
        <v>17</v>
      </c>
      <c r="D143" s="4" t="s">
        <v>7</v>
      </c>
      <c r="E143" s="25">
        <v>26</v>
      </c>
      <c r="F143" s="25">
        <f t="shared" si="13"/>
        <v>73.996000000000009</v>
      </c>
      <c r="G143" s="18">
        <v>2.8460000000000001</v>
      </c>
      <c r="H143" s="13">
        <f t="shared" si="14"/>
        <v>2.8460000000000005</v>
      </c>
      <c r="I143" s="18">
        <v>0.109</v>
      </c>
      <c r="J143" s="13">
        <f t="shared" si="12"/>
        <v>0.10946153846153847</v>
      </c>
    </row>
    <row r="144" spans="1:10" x14ac:dyDescent="0.2">
      <c r="A144" s="4">
        <v>2010</v>
      </c>
      <c r="B144" s="4" t="s">
        <v>6</v>
      </c>
      <c r="C144" s="4" t="s">
        <v>17</v>
      </c>
      <c r="D144" s="4" t="s">
        <v>7</v>
      </c>
      <c r="E144" s="26">
        <v>74</v>
      </c>
      <c r="F144" s="26">
        <v>837</v>
      </c>
      <c r="G144" s="13">
        <f t="shared" ref="G144:G152" si="15">F144/E144</f>
        <v>11.310810810810811</v>
      </c>
      <c r="H144" s="13">
        <f t="shared" si="14"/>
        <v>11.310810810810811</v>
      </c>
      <c r="I144" s="13">
        <f t="shared" ref="I144:I149" si="16">F144/(E144)^2</f>
        <v>0.15284879474068663</v>
      </c>
      <c r="J144" s="13">
        <f t="shared" si="12"/>
        <v>0.15284879474068663</v>
      </c>
    </row>
    <row r="145" spans="1:10" x14ac:dyDescent="0.2">
      <c r="A145" s="4">
        <v>2010</v>
      </c>
      <c r="B145" s="4" t="s">
        <v>6</v>
      </c>
      <c r="C145" s="4" t="s">
        <v>18</v>
      </c>
      <c r="D145" s="4" t="s">
        <v>7</v>
      </c>
      <c r="E145" s="26">
        <v>79</v>
      </c>
      <c r="F145" s="26">
        <v>1003</v>
      </c>
      <c r="G145" s="13">
        <f t="shared" si="15"/>
        <v>12.69620253164557</v>
      </c>
      <c r="H145" s="13">
        <f t="shared" si="14"/>
        <v>12.69620253164557</v>
      </c>
      <c r="I145" s="13">
        <f t="shared" si="16"/>
        <v>0.16071142445120976</v>
      </c>
      <c r="J145" s="13">
        <f t="shared" si="12"/>
        <v>0.16071142445120976</v>
      </c>
    </row>
    <row r="146" spans="1:10" x14ac:dyDescent="0.2">
      <c r="A146" s="4">
        <v>2010</v>
      </c>
      <c r="B146" s="4" t="s">
        <v>6</v>
      </c>
      <c r="C146" s="4" t="s">
        <v>18</v>
      </c>
      <c r="D146" s="4" t="s">
        <v>7</v>
      </c>
      <c r="E146" s="26">
        <v>76</v>
      </c>
      <c r="F146" s="26">
        <v>924</v>
      </c>
      <c r="G146" s="13">
        <f t="shared" si="15"/>
        <v>12.157894736842104</v>
      </c>
      <c r="H146" s="13">
        <f t="shared" si="14"/>
        <v>12.157894736842104</v>
      </c>
      <c r="I146" s="13">
        <f t="shared" si="16"/>
        <v>0.15997229916897507</v>
      </c>
      <c r="J146" s="13">
        <f t="shared" si="12"/>
        <v>0.15997229916897507</v>
      </c>
    </row>
    <row r="147" spans="1:10" x14ac:dyDescent="0.2">
      <c r="A147" s="4">
        <v>2010</v>
      </c>
      <c r="B147" s="4" t="s">
        <v>6</v>
      </c>
      <c r="C147" s="4" t="s">
        <v>18</v>
      </c>
      <c r="D147" s="4" t="s">
        <v>7</v>
      </c>
      <c r="E147" s="26">
        <v>44</v>
      </c>
      <c r="F147" s="26">
        <v>402</v>
      </c>
      <c r="G147" s="13">
        <f t="shared" si="15"/>
        <v>9.1363636363636367</v>
      </c>
      <c r="H147" s="13">
        <f t="shared" si="14"/>
        <v>9.1363636363636367</v>
      </c>
      <c r="I147" s="13">
        <f t="shared" si="16"/>
        <v>0.20764462809917356</v>
      </c>
      <c r="J147" s="13">
        <f t="shared" si="12"/>
        <v>0.20764462809917356</v>
      </c>
    </row>
    <row r="148" spans="1:10" x14ac:dyDescent="0.2">
      <c r="A148" s="4">
        <v>2010</v>
      </c>
      <c r="B148" s="4" t="s">
        <v>6</v>
      </c>
      <c r="C148" s="4" t="s">
        <v>18</v>
      </c>
      <c r="D148" s="4" t="s">
        <v>26</v>
      </c>
      <c r="E148" s="26">
        <v>58</v>
      </c>
      <c r="F148" s="26">
        <v>506</v>
      </c>
      <c r="G148" s="13">
        <f t="shared" si="15"/>
        <v>8.7241379310344822</v>
      </c>
      <c r="H148" s="13">
        <f t="shared" si="14"/>
        <v>8.7241379310344822</v>
      </c>
      <c r="I148" s="13">
        <f t="shared" si="16"/>
        <v>0.15041617122473247</v>
      </c>
      <c r="J148" s="13">
        <f t="shared" si="12"/>
        <v>0.15041617122473247</v>
      </c>
    </row>
    <row r="149" spans="1:10" x14ac:dyDescent="0.2">
      <c r="A149" s="4">
        <v>2010</v>
      </c>
      <c r="B149" s="4" t="s">
        <v>6</v>
      </c>
      <c r="C149" s="4" t="s">
        <v>18</v>
      </c>
      <c r="D149" s="4" t="s">
        <v>26</v>
      </c>
      <c r="E149" s="26">
        <v>25</v>
      </c>
      <c r="F149" s="26">
        <v>129</v>
      </c>
      <c r="G149" s="13">
        <f t="shared" si="15"/>
        <v>5.16</v>
      </c>
      <c r="H149" s="13">
        <f t="shared" si="14"/>
        <v>5.16</v>
      </c>
      <c r="I149" s="13">
        <f t="shared" si="16"/>
        <v>0.2064</v>
      </c>
      <c r="J149" s="13">
        <f t="shared" si="12"/>
        <v>0.2064</v>
      </c>
    </row>
    <row r="150" spans="1:10" x14ac:dyDescent="0.2">
      <c r="A150" s="4">
        <v>2004</v>
      </c>
      <c r="B150" s="4" t="s">
        <v>14</v>
      </c>
      <c r="D150" s="4" t="s">
        <v>16</v>
      </c>
      <c r="E150" s="23">
        <v>83</v>
      </c>
      <c r="F150" s="23">
        <v>375</v>
      </c>
      <c r="G150" s="15">
        <f t="shared" si="15"/>
        <v>4.5180722891566267</v>
      </c>
      <c r="H150" s="13">
        <f t="shared" si="14"/>
        <v>4.5180722891566267</v>
      </c>
      <c r="I150" s="15">
        <f>F150/(E150*E150)</f>
        <v>5.4434605893453329E-2</v>
      </c>
      <c r="J150" s="13">
        <f t="shared" si="12"/>
        <v>5.4434605893453329E-2</v>
      </c>
    </row>
    <row r="151" spans="1:10" x14ac:dyDescent="0.2">
      <c r="A151" s="4">
        <v>2004</v>
      </c>
      <c r="B151" s="4" t="s">
        <v>14</v>
      </c>
      <c r="D151" s="4" t="s">
        <v>16</v>
      </c>
      <c r="E151" s="23">
        <v>89</v>
      </c>
      <c r="F151" s="23">
        <v>565</v>
      </c>
      <c r="G151" s="15">
        <f t="shared" si="15"/>
        <v>6.3483146067415728</v>
      </c>
      <c r="H151" s="13">
        <f t="shared" si="14"/>
        <v>6.3483146067415728</v>
      </c>
      <c r="I151" s="15">
        <f>F151/(E151*E151)</f>
        <v>7.1329377603837896E-2</v>
      </c>
      <c r="J151" s="13">
        <f t="shared" si="12"/>
        <v>7.1329377603837896E-2</v>
      </c>
    </row>
    <row r="152" spans="1:10" x14ac:dyDescent="0.2">
      <c r="A152" s="4">
        <v>2004</v>
      </c>
      <c r="B152" s="4" t="s">
        <v>14</v>
      </c>
      <c r="D152" s="4" t="s">
        <v>16</v>
      </c>
      <c r="E152" s="23">
        <v>100</v>
      </c>
      <c r="F152" s="23">
        <v>708</v>
      </c>
      <c r="G152" s="15">
        <f t="shared" si="15"/>
        <v>7.08</v>
      </c>
      <c r="H152" s="13">
        <f t="shared" si="14"/>
        <v>7.08</v>
      </c>
      <c r="I152" s="15">
        <f>F152/(E152*E152)</f>
        <v>7.0800000000000002E-2</v>
      </c>
      <c r="J152" s="13">
        <f t="shared" si="12"/>
        <v>7.0800000000000002E-2</v>
      </c>
    </row>
    <row r="153" spans="1:10" x14ac:dyDescent="0.2">
      <c r="A153" s="4">
        <v>2004</v>
      </c>
      <c r="B153" s="4" t="s">
        <v>14</v>
      </c>
      <c r="D153" s="4" t="s">
        <v>7</v>
      </c>
      <c r="E153" s="23">
        <v>70</v>
      </c>
      <c r="F153" s="23">
        <v>421</v>
      </c>
      <c r="G153" s="15">
        <f t="shared" ref="G153:G161" si="17">F153/E153</f>
        <v>6.0142857142857142</v>
      </c>
      <c r="H153" s="13">
        <f t="shared" si="14"/>
        <v>6.0142857142857142</v>
      </c>
      <c r="I153" s="15">
        <f t="shared" ref="I153:I161" si="18">F153/(E153*E153)</f>
        <v>8.5918367346938779E-2</v>
      </c>
      <c r="J153" s="13">
        <f t="shared" si="12"/>
        <v>8.5918367346938779E-2</v>
      </c>
    </row>
    <row r="154" spans="1:10" x14ac:dyDescent="0.2">
      <c r="A154" s="4">
        <v>2004</v>
      </c>
      <c r="B154" s="4" t="s">
        <v>14</v>
      </c>
      <c r="D154" s="4" t="s">
        <v>7</v>
      </c>
      <c r="E154" s="23">
        <v>77</v>
      </c>
      <c r="F154" s="23">
        <v>268</v>
      </c>
      <c r="G154" s="15">
        <f t="shared" si="17"/>
        <v>3.4805194805194803</v>
      </c>
      <c r="H154" s="13">
        <f t="shared" si="14"/>
        <v>3.4805194805194803</v>
      </c>
      <c r="I154" s="15">
        <f t="shared" si="18"/>
        <v>4.5201551695058191E-2</v>
      </c>
      <c r="J154" s="13">
        <f t="shared" si="12"/>
        <v>4.5201551695058191E-2</v>
      </c>
    </row>
    <row r="155" spans="1:10" x14ac:dyDescent="0.2">
      <c r="A155" s="4">
        <v>2004</v>
      </c>
      <c r="B155" s="4" t="s">
        <v>14</v>
      </c>
      <c r="D155" s="4" t="s">
        <v>7</v>
      </c>
      <c r="E155" s="23">
        <v>75</v>
      </c>
      <c r="F155" s="23">
        <v>240</v>
      </c>
      <c r="G155" s="15">
        <f t="shared" si="17"/>
        <v>3.2</v>
      </c>
      <c r="H155" s="13">
        <f t="shared" si="14"/>
        <v>3.2</v>
      </c>
      <c r="I155" s="15">
        <f t="shared" si="18"/>
        <v>4.2666666666666665E-2</v>
      </c>
      <c r="J155" s="13">
        <f t="shared" si="12"/>
        <v>4.2666666666666665E-2</v>
      </c>
    </row>
    <row r="156" spans="1:10" x14ac:dyDescent="0.2">
      <c r="A156" s="4">
        <v>2004</v>
      </c>
      <c r="B156" s="4" t="s">
        <v>14</v>
      </c>
      <c r="D156" s="4" t="s">
        <v>7</v>
      </c>
      <c r="E156" s="23">
        <v>66</v>
      </c>
      <c r="F156" s="23">
        <v>187</v>
      </c>
      <c r="G156" s="15">
        <f t="shared" si="17"/>
        <v>2.8333333333333335</v>
      </c>
      <c r="H156" s="13">
        <f t="shared" si="14"/>
        <v>2.8333333333333335</v>
      </c>
      <c r="I156" s="15">
        <f t="shared" si="18"/>
        <v>4.2929292929292928E-2</v>
      </c>
      <c r="J156" s="13">
        <f t="shared" si="12"/>
        <v>4.2929292929292928E-2</v>
      </c>
    </row>
    <row r="157" spans="1:10" x14ac:dyDescent="0.2">
      <c r="A157" s="4">
        <v>2004</v>
      </c>
      <c r="B157" s="4" t="s">
        <v>14</v>
      </c>
      <c r="D157" s="4" t="s">
        <v>7</v>
      </c>
      <c r="E157" s="23">
        <v>82</v>
      </c>
      <c r="F157" s="23">
        <v>224</v>
      </c>
      <c r="G157" s="15">
        <f t="shared" si="17"/>
        <v>2.7317073170731709</v>
      </c>
      <c r="H157" s="13">
        <f t="shared" si="14"/>
        <v>2.7317073170731709</v>
      </c>
      <c r="I157" s="15">
        <f t="shared" si="18"/>
        <v>3.3313503866745982E-2</v>
      </c>
      <c r="J157" s="13">
        <f t="shared" si="12"/>
        <v>3.3313503866745982E-2</v>
      </c>
    </row>
    <row r="158" spans="1:10" x14ac:dyDescent="0.2">
      <c r="A158" s="4">
        <v>2004</v>
      </c>
      <c r="B158" s="4" t="s">
        <v>14</v>
      </c>
      <c r="D158" s="4" t="s">
        <v>7</v>
      </c>
      <c r="E158" s="23">
        <v>58</v>
      </c>
      <c r="F158" s="23">
        <v>117</v>
      </c>
      <c r="G158" s="15">
        <f t="shared" si="17"/>
        <v>2.0172413793103448</v>
      </c>
      <c r="H158" s="13">
        <f t="shared" si="14"/>
        <v>2.0172413793103448</v>
      </c>
      <c r="I158" s="15">
        <f t="shared" si="18"/>
        <v>3.4780023781212845E-2</v>
      </c>
      <c r="J158" s="13">
        <f t="shared" si="12"/>
        <v>3.4780023781212845E-2</v>
      </c>
    </row>
    <row r="159" spans="1:10" x14ac:dyDescent="0.2">
      <c r="A159" s="4">
        <v>2004</v>
      </c>
      <c r="B159" s="4" t="s">
        <v>14</v>
      </c>
      <c r="D159" s="4" t="s">
        <v>7</v>
      </c>
      <c r="E159" s="23">
        <v>45</v>
      </c>
      <c r="F159" s="23">
        <v>110</v>
      </c>
      <c r="G159" s="15">
        <f t="shared" si="17"/>
        <v>2.4444444444444446</v>
      </c>
      <c r="H159" s="13">
        <f t="shared" si="14"/>
        <v>2.4444444444444446</v>
      </c>
      <c r="I159" s="15">
        <f t="shared" si="18"/>
        <v>5.4320987654320987E-2</v>
      </c>
      <c r="J159" s="13">
        <f t="shared" si="12"/>
        <v>5.4320987654320987E-2</v>
      </c>
    </row>
    <row r="160" spans="1:10" x14ac:dyDescent="0.2">
      <c r="A160" s="4">
        <v>2004</v>
      </c>
      <c r="B160" s="4" t="s">
        <v>14</v>
      </c>
      <c r="D160" s="4" t="s">
        <v>7</v>
      </c>
      <c r="E160" s="23">
        <v>76</v>
      </c>
      <c r="F160" s="23">
        <v>155</v>
      </c>
      <c r="G160" s="15">
        <f t="shared" si="17"/>
        <v>2.0394736842105261</v>
      </c>
      <c r="H160" s="13">
        <f>F160/E160</f>
        <v>2.0394736842105261</v>
      </c>
      <c r="I160" s="15">
        <f t="shared" si="18"/>
        <v>2.6835180055401663E-2</v>
      </c>
      <c r="J160" s="13">
        <f t="shared" si="12"/>
        <v>2.6835180055401663E-2</v>
      </c>
    </row>
    <row r="161" spans="1:10" x14ac:dyDescent="0.2">
      <c r="A161" s="4">
        <v>2008</v>
      </c>
      <c r="B161" s="4" t="s">
        <v>14</v>
      </c>
      <c r="D161" s="16" t="s">
        <v>24</v>
      </c>
      <c r="E161" s="23">
        <v>142</v>
      </c>
      <c r="F161" s="23">
        <v>1383</v>
      </c>
      <c r="G161" s="15">
        <f t="shared" si="17"/>
        <v>9.73943661971831</v>
      </c>
      <c r="H161" s="13">
        <f t="shared" ref="H161:H163" si="19">F161/E161</f>
        <v>9.73943661971831</v>
      </c>
      <c r="I161" s="15">
        <f t="shared" si="18"/>
        <v>6.8587581829002181E-2</v>
      </c>
      <c r="J161" s="13">
        <f t="shared" si="12"/>
        <v>6.8587581829002181E-2</v>
      </c>
    </row>
    <row r="162" spans="1:10" x14ac:dyDescent="0.2">
      <c r="A162" s="4">
        <v>2002</v>
      </c>
      <c r="B162" s="4" t="s">
        <v>14</v>
      </c>
      <c r="E162" s="23">
        <v>102</v>
      </c>
      <c r="F162" s="23">
        <v>697</v>
      </c>
      <c r="G162" s="15">
        <v>6.83</v>
      </c>
      <c r="H162" s="13">
        <f t="shared" si="19"/>
        <v>6.833333333333333</v>
      </c>
      <c r="I162" s="15">
        <v>6.7000000000000004E-2</v>
      </c>
      <c r="J162" s="13">
        <f t="shared" si="12"/>
        <v>6.699346405228758E-2</v>
      </c>
    </row>
    <row r="163" spans="1:10" x14ac:dyDescent="0.2">
      <c r="A163" s="4">
        <v>2002</v>
      </c>
      <c r="B163" s="4" t="s">
        <v>14</v>
      </c>
      <c r="E163" s="23">
        <v>109</v>
      </c>
      <c r="F163" s="23">
        <v>830</v>
      </c>
      <c r="G163" s="15">
        <v>7.61</v>
      </c>
      <c r="H163" s="13">
        <f t="shared" si="19"/>
        <v>7.6146788990825689</v>
      </c>
      <c r="I163" s="15">
        <v>7.0000000000000007E-2</v>
      </c>
      <c r="J163" s="13">
        <f t="shared" si="12"/>
        <v>6.985943944112448E-2</v>
      </c>
    </row>
  </sheetData>
  <phoneticPr fontId="5" type="noConversion"/>
  <pageMargins left="0.7" right="0.7" top="0.75" bottom="0.75" header="0.3" footer="0.3"/>
  <pageSetup orientation="portrait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37A6-62D1-44A6-8F60-CADDB4CEEF1B}">
  <dimension ref="C10:G31"/>
  <sheetViews>
    <sheetView workbookViewId="0">
      <selection activeCell="J11" sqref="J11:J22"/>
    </sheetView>
  </sheetViews>
  <sheetFormatPr baseColWidth="10" defaultColWidth="8.83203125" defaultRowHeight="15" x14ac:dyDescent="0.2"/>
  <cols>
    <col min="3" max="3" width="37" customWidth="1"/>
    <col min="4" max="4" width="13.83203125" customWidth="1"/>
    <col min="5" max="5" width="11" customWidth="1"/>
    <col min="6" max="6" width="14.1640625" customWidth="1"/>
    <col min="7" max="7" width="15.1640625" customWidth="1"/>
    <col min="8" max="8" width="8.5" bestFit="1" customWidth="1"/>
    <col min="9" max="9" width="13.33203125" bestFit="1" customWidth="1"/>
    <col min="10" max="10" width="10.33203125" bestFit="1" customWidth="1"/>
    <col min="11" max="11" width="10.83203125" bestFit="1" customWidth="1"/>
    <col min="12" max="12" width="11" bestFit="1" customWidth="1"/>
    <col min="13" max="13" width="13.5" bestFit="1" customWidth="1"/>
    <col min="14" max="14" width="7.1640625" bestFit="1" customWidth="1"/>
    <col min="15" max="15" width="6.5" bestFit="1" customWidth="1"/>
    <col min="16" max="16" width="7.33203125" bestFit="1" customWidth="1"/>
    <col min="17" max="17" width="8.33203125" bestFit="1" customWidth="1"/>
  </cols>
  <sheetData>
    <row r="10" spans="4:7" ht="32" x14ac:dyDescent="0.2">
      <c r="D10" s="19" t="s">
        <v>2</v>
      </c>
      <c r="E10" s="19" t="s">
        <v>3</v>
      </c>
      <c r="F10" s="6" t="s">
        <v>4</v>
      </c>
      <c r="G10" s="6" t="s">
        <v>5</v>
      </c>
    </row>
    <row r="23" spans="3:3" x14ac:dyDescent="0.2">
      <c r="C23" s="12"/>
    </row>
    <row r="24" spans="3:3" x14ac:dyDescent="0.2">
      <c r="C24" s="12"/>
    </row>
    <row r="25" spans="3:3" x14ac:dyDescent="0.2">
      <c r="C25" s="12"/>
    </row>
    <row r="26" spans="3:3" x14ac:dyDescent="0.2">
      <c r="C26" s="12"/>
    </row>
    <row r="27" spans="3:3" x14ac:dyDescent="0.2">
      <c r="C27" s="12"/>
    </row>
    <row r="28" spans="3:3" x14ac:dyDescent="0.2">
      <c r="C28" s="12"/>
    </row>
    <row r="29" spans="3:3" x14ac:dyDescent="0.2">
      <c r="C29" s="12"/>
    </row>
    <row r="30" spans="3:3" x14ac:dyDescent="0.2">
      <c r="C30" s="12"/>
    </row>
    <row r="31" spans="3:3" x14ac:dyDescent="0.2">
      <c r="C3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Esteban Gutiérrez-Fonseca (he/him)</dc:creator>
  <cp:keywords/>
  <dc:description/>
  <cp:lastModifiedBy>Reilly Connelly</cp:lastModifiedBy>
  <cp:revision/>
  <dcterms:created xsi:type="dcterms:W3CDTF">2024-08-26T18:48:15Z</dcterms:created>
  <dcterms:modified xsi:type="dcterms:W3CDTF">2024-11-14T16:35:59Z</dcterms:modified>
  <cp:category/>
  <cp:contentStatus/>
</cp:coreProperties>
</file>